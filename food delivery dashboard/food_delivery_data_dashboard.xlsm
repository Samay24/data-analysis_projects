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workbookPr hidePivotFieldList="1" defaultThemeVersion="124226"/>
  <mc:AlternateContent xmlns:mc="http://schemas.openxmlformats.org/markup-compatibility/2006">
    <mc:Choice Requires="x15">
      <x15ac:absPath xmlns:x15ac="http://schemas.microsoft.com/office/spreadsheetml/2010/11/ac" url="https://d.docs.live.net/d43626c9d8b0bd7d/Desktop/"/>
    </mc:Choice>
  </mc:AlternateContent>
  <xr:revisionPtr revIDLastSave="2" documentId="8_{A57B9DC8-6772-4550-956E-DEA73D399A35}" xr6:coauthVersionLast="47" xr6:coauthVersionMax="47" xr10:uidLastSave="{27E845BD-41A7-418B-9E8F-439C4EE90B78}"/>
  <bookViews>
    <workbookView xWindow="-108" yWindow="-108" windowWidth="23256" windowHeight="12456" activeTab="2" xr2:uid="{00000000-000D-0000-FFFF-FFFF00000000}"/>
  </bookViews>
  <sheets>
    <sheet name="Pivot table" sheetId="3" r:id="rId1"/>
    <sheet name="Data" sheetId="1" r:id="rId2"/>
    <sheet name="Dashboard" sheetId="2" r:id="rId3"/>
  </sheets>
  <definedNames>
    <definedName name="NativeTimeline_Order_Date">#N/A</definedName>
    <definedName name="Slicer_Delivery_Partner">#N/A</definedName>
    <definedName name="Slicer_Delivery_Status">#N/A</definedName>
    <definedName name="Slicer_Location">#N/A</definedName>
    <definedName name="Slicer_Payment_Method">#N/A</definedName>
    <definedName name="Slicer_Rating">#N/A</definedName>
    <definedName name="Slicer_Restaurant">#N/A</definedName>
  </definedNames>
  <calcPr calcId="191029"/>
  <pivotCaches>
    <pivotCache cacheId="0" r:id="rId4"/>
    <pivotCache cacheId="1" r:id="rId5"/>
    <pivotCache cacheId="5"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Lst>
</workbook>
</file>

<file path=xl/calcChain.xml><?xml version="1.0" encoding="utf-8"?>
<calcChain xmlns="http://schemas.openxmlformats.org/spreadsheetml/2006/main">
  <c r="L3" i="1" l="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2" i="1"/>
</calcChain>
</file>

<file path=xl/sharedStrings.xml><?xml version="1.0" encoding="utf-8"?>
<sst xmlns="http://schemas.openxmlformats.org/spreadsheetml/2006/main" count="919" uniqueCount="157">
  <si>
    <t>Order_ID</t>
  </si>
  <si>
    <t>Customer_Name</t>
  </si>
  <si>
    <t>Location</t>
  </si>
  <si>
    <t>Order_Date</t>
  </si>
  <si>
    <t>Restaurant</t>
  </si>
  <si>
    <t>Food_Item</t>
  </si>
  <si>
    <t>Quantity</t>
  </si>
  <si>
    <t>Price_per_Item</t>
  </si>
  <si>
    <t>Delivery_Status</t>
  </si>
  <si>
    <t>Delivery_Partner</t>
  </si>
  <si>
    <t>Rating</t>
  </si>
  <si>
    <t>Payment_Method</t>
  </si>
  <si>
    <t>Customer_1001</t>
  </si>
  <si>
    <t>Customer_1002</t>
  </si>
  <si>
    <t>Customer_1003</t>
  </si>
  <si>
    <t>Customer_1004</t>
  </si>
  <si>
    <t>Customer_1005</t>
  </si>
  <si>
    <t>Customer_1006</t>
  </si>
  <si>
    <t>Customer_1007</t>
  </si>
  <si>
    <t>Customer_1008</t>
  </si>
  <si>
    <t>Customer_1009</t>
  </si>
  <si>
    <t>Customer_1010</t>
  </si>
  <si>
    <t>Customer_1011</t>
  </si>
  <si>
    <t>Customer_1012</t>
  </si>
  <si>
    <t>Customer_1013</t>
  </si>
  <si>
    <t>Customer_1014</t>
  </si>
  <si>
    <t>Customer_1015</t>
  </si>
  <si>
    <t>Customer_1016</t>
  </si>
  <si>
    <t>Customer_1017</t>
  </si>
  <si>
    <t>Customer_1018</t>
  </si>
  <si>
    <t>Customer_1019</t>
  </si>
  <si>
    <t>Customer_1020</t>
  </si>
  <si>
    <t>Customer_1021</t>
  </si>
  <si>
    <t>Customer_1022</t>
  </si>
  <si>
    <t>Customer_1023</t>
  </si>
  <si>
    <t>Customer_1024</t>
  </si>
  <si>
    <t>Customer_1025</t>
  </si>
  <si>
    <t>Customer_1026</t>
  </si>
  <si>
    <t>Customer_1027</t>
  </si>
  <si>
    <t>Customer_1028</t>
  </si>
  <si>
    <t>Customer_1029</t>
  </si>
  <si>
    <t>Customer_1030</t>
  </si>
  <si>
    <t>Customer_1031</t>
  </si>
  <si>
    <t>Customer_1032</t>
  </si>
  <si>
    <t>Customer_1033</t>
  </si>
  <si>
    <t>Customer_1034</t>
  </si>
  <si>
    <t>Customer_1035</t>
  </si>
  <si>
    <t>Customer_1036</t>
  </si>
  <si>
    <t>Customer_1037</t>
  </si>
  <si>
    <t>Customer_1038</t>
  </si>
  <si>
    <t>Customer_1039</t>
  </si>
  <si>
    <t>Customer_1040</t>
  </si>
  <si>
    <t>Customer_1041</t>
  </si>
  <si>
    <t>Customer_1042</t>
  </si>
  <si>
    <t>Customer_1043</t>
  </si>
  <si>
    <t>Customer_1044</t>
  </si>
  <si>
    <t>Customer_1045</t>
  </si>
  <si>
    <t>Customer_1046</t>
  </si>
  <si>
    <t>Customer_1047</t>
  </si>
  <si>
    <t>Customer_1048</t>
  </si>
  <si>
    <t>Customer_1049</t>
  </si>
  <si>
    <t>Customer_1050</t>
  </si>
  <si>
    <t>Customer_1051</t>
  </si>
  <si>
    <t>Customer_1052</t>
  </si>
  <si>
    <t>Customer_1053</t>
  </si>
  <si>
    <t>Customer_1054</t>
  </si>
  <si>
    <t>Customer_1055</t>
  </si>
  <si>
    <t>Customer_1056</t>
  </si>
  <si>
    <t>Customer_1057</t>
  </si>
  <si>
    <t>Customer_1058</t>
  </si>
  <si>
    <t>Customer_1059</t>
  </si>
  <si>
    <t>Customer_1060</t>
  </si>
  <si>
    <t>Customer_1061</t>
  </si>
  <si>
    <t>Customer_1062</t>
  </si>
  <si>
    <t>Customer_1063</t>
  </si>
  <si>
    <t>Customer_1064</t>
  </si>
  <si>
    <t>Customer_1065</t>
  </si>
  <si>
    <t>Customer_1066</t>
  </si>
  <si>
    <t>Customer_1067</t>
  </si>
  <si>
    <t>Customer_1068</t>
  </si>
  <si>
    <t>Customer_1069</t>
  </si>
  <si>
    <t>Customer_1070</t>
  </si>
  <si>
    <t>Customer_1071</t>
  </si>
  <si>
    <t>Customer_1072</t>
  </si>
  <si>
    <t>Customer_1073</t>
  </si>
  <si>
    <t>Customer_1074</t>
  </si>
  <si>
    <t>Customer_1075</t>
  </si>
  <si>
    <t>Customer_1076</t>
  </si>
  <si>
    <t>Customer_1077</t>
  </si>
  <si>
    <t>Customer_1078</t>
  </si>
  <si>
    <t>Customer_1079</t>
  </si>
  <si>
    <t>Customer_1080</t>
  </si>
  <si>
    <t>Customer_1081</t>
  </si>
  <si>
    <t>Customer_1082</t>
  </si>
  <si>
    <t>Customer_1083</t>
  </si>
  <si>
    <t>Customer_1084</t>
  </si>
  <si>
    <t>Customer_1085</t>
  </si>
  <si>
    <t>Customer_1086</t>
  </si>
  <si>
    <t>Customer_1087</t>
  </si>
  <si>
    <t>Customer_1088</t>
  </si>
  <si>
    <t>Customer_1089</t>
  </si>
  <si>
    <t>Customer_1090</t>
  </si>
  <si>
    <t>Customer_1091</t>
  </si>
  <si>
    <t>Customer_1092</t>
  </si>
  <si>
    <t>Customer_1093</t>
  </si>
  <si>
    <t>Customer_1094</t>
  </si>
  <si>
    <t>Customer_1095</t>
  </si>
  <si>
    <t>Customer_1096</t>
  </si>
  <si>
    <t>Customer_1097</t>
  </si>
  <si>
    <t>Customer_1098</t>
  </si>
  <si>
    <t>Customer_1099</t>
  </si>
  <si>
    <t>Customer_1100</t>
  </si>
  <si>
    <t>Rajkot</t>
  </si>
  <si>
    <t>Baroda</t>
  </si>
  <si>
    <t>Ahmedabad</t>
  </si>
  <si>
    <t>Surat</t>
  </si>
  <si>
    <t>Pizza Hut</t>
  </si>
  <si>
    <t>Hocco Eatery</t>
  </si>
  <si>
    <t>Burger King</t>
  </si>
  <si>
    <t>Biryani House</t>
  </si>
  <si>
    <t>McDonald's</t>
  </si>
  <si>
    <t>KFC</t>
  </si>
  <si>
    <t>Domino's Pizza</t>
  </si>
  <si>
    <t>Subway</t>
  </si>
  <si>
    <t>Cheese Burst Pizza</t>
  </si>
  <si>
    <t>Pav Bhaji</t>
  </si>
  <si>
    <t>Chicken Whopper</t>
  </si>
  <si>
    <t>Chicken Biryani</t>
  </si>
  <si>
    <t>McAloo Tikki</t>
  </si>
  <si>
    <t>Chicken Bucket</t>
  </si>
  <si>
    <t>Veg Pizza</t>
  </si>
  <si>
    <t>Paneer Sub</t>
  </si>
  <si>
    <t>Delivered</t>
  </si>
  <si>
    <t>Cancelled</t>
  </si>
  <si>
    <t>Swiggy Partner 4</t>
  </si>
  <si>
    <t>Zomato Rider 2</t>
  </si>
  <si>
    <t>Swiggy Partner 1</t>
  </si>
  <si>
    <t>Swiggy Partner 2</t>
  </si>
  <si>
    <t>Swiggy Partner 3</t>
  </si>
  <si>
    <t>Zomato Rider 1</t>
  </si>
  <si>
    <t>Zomato Rider 3</t>
  </si>
  <si>
    <t>-</t>
  </si>
  <si>
    <t>Cash</t>
  </si>
  <si>
    <t>Online</t>
  </si>
  <si>
    <t>Dashboard For Food Delivery</t>
  </si>
  <si>
    <t>Row Labels</t>
  </si>
  <si>
    <t>Grand Total</t>
  </si>
  <si>
    <t>Sum of Order_ID</t>
  </si>
  <si>
    <t>Count of Order_ID</t>
  </si>
  <si>
    <t>Count of Quantity</t>
  </si>
  <si>
    <t>Swiggy</t>
  </si>
  <si>
    <t>Zomato</t>
  </si>
  <si>
    <t>Count of Delivery_Partner</t>
  </si>
  <si>
    <t>Values</t>
  </si>
  <si>
    <t>Sum of Price_per_Item</t>
  </si>
  <si>
    <t>Total_spent</t>
  </si>
  <si>
    <t>Sum of Total_spent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</si>
</sst>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numFmts>
  <fonts count="5" x14ac:knownFonts="1">
    <font>
      <sz val="11"/>
      <color theme="1"/>
      <name val="Calibri"/>
      <family val="2"/>
      <scheme val="minor"/>
    </font>
    <font>
      <b/>
      <sz val="11"/>
      <color theme="1"/>
      <name val="Calibri"/>
      <family val="2"/>
      <scheme val="minor"/>
    </font>
    <font>
      <sz val="20"/>
      <color theme="1"/>
      <name val="Calibri"/>
      <family val="2"/>
      <scheme val="minor"/>
    </font>
    <font>
      <b/>
      <sz val="9"/>
      <color theme="1"/>
      <name val="Calibri"/>
      <family val="2"/>
      <scheme val="minor"/>
    </font>
    <font>
      <b/>
      <sz val="28"/>
      <color rgb="FFFE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12">
    <xf numFmtId="0" fontId="0" fillId="0" borderId="0" xfId="0"/>
    <xf numFmtId="0" fontId="1" fillId="0" borderId="1" xfId="0" applyFont="1" applyBorder="1" applyAlignment="1">
      <alignment horizontal="center" vertical="top"/>
    </xf>
    <xf numFmtId="164" fontId="0" fillId="0" borderId="0" xfId="0" applyNumberFormat="1"/>
    <xf numFmtId="0" fontId="0" fillId="2" borderId="0" xfId="0" applyFill="1"/>
    <xf numFmtId="0" fontId="2" fillId="3" borderId="0" xfId="0" applyFont="1" applyFill="1"/>
    <xf numFmtId="0" fontId="0" fillId="0" borderId="0" xfId="0" pivotButton="1"/>
    <xf numFmtId="0" fontId="0" fillId="0" borderId="0" xfId="0" applyAlignment="1">
      <alignment horizontal="left"/>
    </xf>
    <xf numFmtId="164" fontId="0" fillId="0" borderId="0" xfId="0" applyNumberFormat="1" applyAlignment="1">
      <alignment horizontal="left"/>
    </xf>
    <xf numFmtId="0" fontId="1" fillId="0" borderId="2" xfId="0" applyFont="1" applyBorder="1" applyAlignment="1">
      <alignment horizontal="center" vertical="top"/>
    </xf>
    <xf numFmtId="0" fontId="3" fillId="3" borderId="0" xfId="0" applyFont="1" applyFill="1" applyAlignment="1">
      <alignment horizontal="center"/>
    </xf>
    <xf numFmtId="0" fontId="0" fillId="0" borderId="0" xfId="0" applyNumberFormat="1"/>
    <xf numFmtId="0" fontId="4" fillId="3" borderId="0" xfId="0" applyFont="1" applyFill="1" applyAlignment="1">
      <alignment horizontal="center"/>
    </xf>
  </cellXfs>
  <cellStyles count="1">
    <cellStyle name="Normal" xfId="0" builtinId="0"/>
  </cellStyles>
  <dxfs count="6">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name val="Cambria"/>
        <family val="1"/>
        <scheme val="major"/>
      </font>
      <fill>
        <patternFill>
          <bgColor theme="0"/>
        </patternFill>
      </fill>
    </dxf>
    <dxf>
      <fill>
        <patternFill>
          <bgColor rgb="FF777777"/>
        </patternFill>
      </fill>
    </dxf>
  </dxfs>
  <tableStyles count="3" defaultTableStyle="TableStyleMedium9" defaultPivotStyle="PivotStyleLight16">
    <tableStyle name="Slicer Style 1" pivot="0" table="0" count="6" xr9:uid="{632353E7-D1D4-464A-A3AE-74FFD5C5C139}">
      <tableStyleElement type="wholeTable" dxfId="5"/>
      <tableStyleElement type="headerRow" dxfId="4"/>
    </tableStyle>
    <tableStyle name="Timeline Style 1" pivot="0" table="0" count="8" xr9:uid="{3BCCC82F-518A-41DD-AA43-A169062380CE}">
      <tableStyleElement type="wholeTable" dxfId="3"/>
      <tableStyleElement type="headerRow" dxfId="2"/>
    </tableStyle>
    <tableStyle name="Timeline Style 2" pivot="0" table="0" count="8" xr9:uid="{C96E04EB-54EE-48C2-A00C-F8C4DD7BE69A}">
      <tableStyleElement type="wholeTable" dxfId="1"/>
      <tableStyleElement type="headerRow" dxfId="0"/>
    </tableStyle>
  </tableStyles>
  <colors>
    <mruColors>
      <color rgb="FFFE0000"/>
      <color rgb="FF800080"/>
      <color rgb="FF777777"/>
    </mruColors>
  </colors>
  <extLst>
    <ext xmlns:x14="http://schemas.microsoft.com/office/spreadsheetml/2009/9/main" uri="{46F421CA-312F-682f-3DD2-61675219B42D}">
      <x14:dxfs count="4">
        <dxf>
          <fill>
            <patternFill>
              <bgColor rgb="FFEE0000"/>
            </patternFill>
          </fill>
        </dxf>
        <dxf>
          <fill>
            <patternFill>
              <bgColor theme="7"/>
            </patternFill>
          </fill>
        </dxf>
        <dxf>
          <fill>
            <patternFill>
              <bgColor rgb="FFFFFF00"/>
            </patternFill>
          </fill>
        </dxf>
        <dxf>
          <fill>
            <patternFill>
              <bgColor theme="8"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A0A4C193-F2C1-4fcb-8827-314CF55A85BB}">
      <x15:dxfs count="12">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name val="Calibri"/>
            <family val="2"/>
            <scheme val="minor"/>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1"/>
            <x15:timelineStyleElement type="timeLevel" dxfId="10"/>
            <x15:timelineStyleElement type="periodLabel1" dxfId="9"/>
            <x15:timelineStyleElement type="periodLabel2" dxfId="8"/>
            <x15:timelineStyleElement type="selectedTimeBlock" dxfId="7"/>
            <x15:timelineStyleElement type="unselectedTimeBlock" dxfId="6"/>
          </x15:timelineStyleElements>
        </x15:timelineStyle>
        <x15:timelineStyle name="Timeline Style 2">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11/relationships/timelineCache" Target="timelineCaches/timelineCach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microsoft.com/office/2007/relationships/slicerCache" Target="slicerCaches/slicerCache5.xml"/><Relationship Id="rId5" Type="http://schemas.openxmlformats.org/officeDocument/2006/relationships/pivotCacheDefinition" Target="pivotCache/pivotCacheDefinition2.xml"/><Relationship Id="rId15" Type="http://schemas.openxmlformats.org/officeDocument/2006/relationships/styles" Target="styles.xml"/><Relationship Id="rId10" Type="http://schemas.microsoft.com/office/2007/relationships/slicerCache" Target="slicerCaches/slicerCache4.xml"/><Relationship Id="rId4" Type="http://schemas.openxmlformats.org/officeDocument/2006/relationships/pivotCacheDefinition" Target="pivotCache/pivotCacheDefinition1.xml"/><Relationship Id="rId9" Type="http://schemas.microsoft.com/office/2007/relationships/slicerCache" Target="slicerCaches/slicerCache3.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[food_delivery_data_dashboard.xlsm]Pivot table!PivotTable12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table'!$U$27</c:f>
              <c:strCache>
                <c:ptCount val="1"/>
                <c:pt idx="0">
                  <c:v>Total</c:v>
                </c:pt>
              </c:strCache>
            </c:strRef>
          </c:tx>
          <c:spPr>
            <a:solidFill>
              <a:schemeClr val="accent1"/>
            </a:solidFill>
            <a:ln>
              <a:noFill/>
            </a:ln>
            <a:effectLst/>
          </c:spPr>
          <c:cat>
            <c:strRef>
              <c:f>'Pivot table'!$T$28:$T$30</c:f>
              <c:strCache>
                <c:ptCount val="2"/>
                <c:pt idx="0">
                  <c:v>Swiggy</c:v>
                </c:pt>
                <c:pt idx="1">
                  <c:v>Zomato</c:v>
                </c:pt>
              </c:strCache>
            </c:strRef>
          </c:cat>
          <c:val>
            <c:numRef>
              <c:f>'Pivot table'!$U$28:$U$30</c:f>
              <c:numCache>
                <c:formatCode>General</c:formatCode>
                <c:ptCount val="2"/>
                <c:pt idx="0">
                  <c:v>62</c:v>
                </c:pt>
                <c:pt idx="1">
                  <c:v>38</c:v>
                </c:pt>
              </c:numCache>
            </c:numRef>
          </c:val>
          <c:extLst>
            <c:ext xmlns:c16="http://schemas.microsoft.com/office/drawing/2014/chart" uri="{C3380CC4-5D6E-409C-BE32-E72D297353CC}">
              <c16:uniqueId val="{00000000-8633-4D38-BC42-449E57610221}"/>
            </c:ext>
          </c:extLst>
        </c:ser>
        <c:dLbls>
          <c:showLegendKey val="0"/>
          <c:showVal val="0"/>
          <c:showCatName val="0"/>
          <c:showSerName val="0"/>
          <c:showPercent val="0"/>
          <c:showBubbleSize val="0"/>
        </c:dLbls>
        <c:axId val="1363617216"/>
        <c:axId val="1363617696"/>
      </c:areaChart>
      <c:catAx>
        <c:axId val="13636172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3617696"/>
        <c:crosses val="autoZero"/>
        <c:auto val="1"/>
        <c:lblAlgn val="ctr"/>
        <c:lblOffset val="100"/>
        <c:noMultiLvlLbl val="0"/>
      </c:catAx>
      <c:valAx>
        <c:axId val="1363617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361721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[food_delivery_data_dashboard.xlsm]Pivot table!PivotTable1</c:name>
    <c:fmtId val="3"/>
  </c:pivotSource>
  <c:chart>
    <c:autoTitleDeleted val="1"/>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c:spP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23517427454436E-2"/>
          <c:y val="9.6269554753309269E-2"/>
          <c:w val="0.86414477910540899"/>
          <c:h val="0.79423424959966649"/>
        </c:manualLayout>
      </c:layout>
      <c:barChart>
        <c:barDir val="col"/>
        <c:grouping val="clustered"/>
        <c:varyColors val="0"/>
        <c:ser>
          <c:idx val="0"/>
          <c:order val="0"/>
          <c:tx>
            <c:strRef>
              <c:f>'Pivot table'!$B$3</c:f>
              <c:strCache>
                <c:ptCount val="1"/>
                <c:pt idx="0">
                  <c:v>Total</c:v>
                </c:pt>
              </c:strCache>
            </c:strRef>
          </c:tx>
          <c:spPr>
            <a:solidFill>
              <a:schemeClr val="accent3"/>
            </a:solidFill>
            <a:ln>
              <a:noFill/>
            </a:ln>
            <a:effectLst/>
          </c:spPr>
          <c:invertIfNegative val="0"/>
          <c:dPt>
            <c:idx val="0"/>
            <c:invertIfNegative val="0"/>
            <c:bubble3D val="0"/>
            <c:extLst>
              <c:ext xmlns:c16="http://schemas.microsoft.com/office/drawing/2014/chart" uri="{C3380CC4-5D6E-409C-BE32-E72D297353CC}">
                <c16:uniqueId val="{00000002-E5F5-40A1-ACAC-1F2F073C3837}"/>
              </c:ext>
            </c:extLst>
          </c:dPt>
          <c:dPt>
            <c:idx val="1"/>
            <c:invertIfNegative val="0"/>
            <c:bubble3D val="0"/>
            <c:extLst>
              <c:ext xmlns:c16="http://schemas.microsoft.com/office/drawing/2014/chart" uri="{C3380CC4-5D6E-409C-BE32-E72D297353CC}">
                <c16:uniqueId val="{00000001-E5F5-40A1-ACAC-1F2F073C3837}"/>
              </c:ext>
            </c:extLst>
          </c:dPt>
          <c:dPt>
            <c:idx val="2"/>
            <c:invertIfNegative val="0"/>
            <c:bubble3D val="0"/>
            <c:extLst>
              <c:ext xmlns:c16="http://schemas.microsoft.com/office/drawing/2014/chart" uri="{C3380CC4-5D6E-409C-BE32-E72D297353CC}">
                <c16:uniqueId val="{00000003-E5F5-40A1-ACAC-1F2F073C3837}"/>
              </c:ext>
            </c:extLst>
          </c:dPt>
          <c:dPt>
            <c:idx val="3"/>
            <c:invertIfNegative val="0"/>
            <c:bubble3D val="0"/>
            <c:extLst>
              <c:ext xmlns:c16="http://schemas.microsoft.com/office/drawing/2014/chart" uri="{C3380CC4-5D6E-409C-BE32-E72D297353CC}">
                <c16:uniqueId val="{00000004-E5F5-40A1-ACAC-1F2F073C3837}"/>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5F5-40A1-ACAC-1F2F073C3837}"/>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5F5-40A1-ACAC-1F2F073C3837}"/>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5F5-40A1-ACAC-1F2F073C3837}"/>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5F5-40A1-ACAC-1F2F073C3837}"/>
                </c:ext>
              </c:extLst>
            </c:dLbl>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table'!$A$4:$A$8</c:f>
              <c:strCache>
                <c:ptCount val="4"/>
                <c:pt idx="0">
                  <c:v>Ahmedabad</c:v>
                </c:pt>
                <c:pt idx="1">
                  <c:v>Baroda</c:v>
                </c:pt>
                <c:pt idx="2">
                  <c:v>Rajkot</c:v>
                </c:pt>
                <c:pt idx="3">
                  <c:v>Surat</c:v>
                </c:pt>
              </c:strCache>
            </c:strRef>
          </c:cat>
          <c:val>
            <c:numRef>
              <c:f>'Pivot table'!$B$4:$B$8</c:f>
              <c:numCache>
                <c:formatCode>General</c:formatCode>
                <c:ptCount val="4"/>
                <c:pt idx="0">
                  <c:v>26</c:v>
                </c:pt>
                <c:pt idx="1">
                  <c:v>27</c:v>
                </c:pt>
                <c:pt idx="2">
                  <c:v>26</c:v>
                </c:pt>
                <c:pt idx="3">
                  <c:v>21</c:v>
                </c:pt>
              </c:numCache>
            </c:numRef>
          </c:val>
          <c:extLst>
            <c:ext xmlns:c16="http://schemas.microsoft.com/office/drawing/2014/chart" uri="{C3380CC4-5D6E-409C-BE32-E72D297353CC}">
              <c16:uniqueId val="{00000000-E5F5-40A1-ACAC-1F2F073C3837}"/>
            </c:ext>
          </c:extLst>
        </c:ser>
        <c:dLbls>
          <c:showLegendKey val="0"/>
          <c:showVal val="0"/>
          <c:showCatName val="0"/>
          <c:showSerName val="0"/>
          <c:showPercent val="0"/>
          <c:showBubbleSize val="0"/>
        </c:dLbls>
        <c:gapWidth val="219"/>
        <c:overlap val="-27"/>
        <c:axId val="176736784"/>
        <c:axId val="176734384"/>
      </c:barChart>
      <c:catAx>
        <c:axId val="176736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734384"/>
        <c:crosses val="autoZero"/>
        <c:auto val="1"/>
        <c:lblAlgn val="ctr"/>
        <c:lblOffset val="100"/>
        <c:noMultiLvlLbl val="0"/>
      </c:catAx>
      <c:valAx>
        <c:axId val="1767343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736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[food_delivery_data_dashboard.xlsm]Pivot table!PivotTable2</c:name>
    <c:fmtId val="11"/>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005105306958582"/>
          <c:y val="5.8648071533431205E-2"/>
          <c:w val="0.7762930883639545"/>
          <c:h val="0.89583333333333337"/>
        </c:manualLayout>
      </c:layout>
      <c:bar3DChart>
        <c:barDir val="bar"/>
        <c:grouping val="stacked"/>
        <c:varyColors val="0"/>
        <c:ser>
          <c:idx val="0"/>
          <c:order val="0"/>
          <c:tx>
            <c:strRef>
              <c:f>'Pivot table'!$E$3</c:f>
              <c:strCache>
                <c:ptCount val="1"/>
                <c:pt idx="0">
                  <c:v>Total</c:v>
                </c:pt>
              </c:strCache>
            </c:strRef>
          </c:tx>
          <c:spPr>
            <a:solidFill>
              <a:schemeClr val="accent1"/>
            </a:solidFill>
            <a:ln>
              <a:noFill/>
            </a:ln>
            <a:effectLst/>
            <a:sp3d/>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table'!$D$4:$D$12</c:f>
              <c:strCache>
                <c:ptCount val="8"/>
                <c:pt idx="0">
                  <c:v>Biryani House</c:v>
                </c:pt>
                <c:pt idx="1">
                  <c:v>Burger King</c:v>
                </c:pt>
                <c:pt idx="2">
                  <c:v>Domino's Pizza</c:v>
                </c:pt>
                <c:pt idx="3">
                  <c:v>Hocco Eatery</c:v>
                </c:pt>
                <c:pt idx="4">
                  <c:v>KFC</c:v>
                </c:pt>
                <c:pt idx="5">
                  <c:v>McDonald's</c:v>
                </c:pt>
                <c:pt idx="6">
                  <c:v>Pizza Hut</c:v>
                </c:pt>
                <c:pt idx="7">
                  <c:v>Subway</c:v>
                </c:pt>
              </c:strCache>
            </c:strRef>
          </c:cat>
          <c:val>
            <c:numRef>
              <c:f>'Pivot table'!$E$4:$E$12</c:f>
              <c:numCache>
                <c:formatCode>General</c:formatCode>
                <c:ptCount val="8"/>
                <c:pt idx="0">
                  <c:v>15</c:v>
                </c:pt>
                <c:pt idx="1">
                  <c:v>10</c:v>
                </c:pt>
                <c:pt idx="2">
                  <c:v>11</c:v>
                </c:pt>
                <c:pt idx="3">
                  <c:v>16</c:v>
                </c:pt>
                <c:pt idx="4">
                  <c:v>11</c:v>
                </c:pt>
                <c:pt idx="5">
                  <c:v>17</c:v>
                </c:pt>
                <c:pt idx="6">
                  <c:v>13</c:v>
                </c:pt>
                <c:pt idx="7">
                  <c:v>7</c:v>
                </c:pt>
              </c:numCache>
            </c:numRef>
          </c:val>
          <c:extLst>
            <c:ext xmlns:c16="http://schemas.microsoft.com/office/drawing/2014/chart" uri="{C3380CC4-5D6E-409C-BE32-E72D297353CC}">
              <c16:uniqueId val="{00000000-F7FE-4538-85D9-50AF721BE2F1}"/>
            </c:ext>
          </c:extLst>
        </c:ser>
        <c:dLbls>
          <c:showLegendKey val="0"/>
          <c:showVal val="0"/>
          <c:showCatName val="0"/>
          <c:showSerName val="0"/>
          <c:showPercent val="0"/>
          <c:showBubbleSize val="0"/>
        </c:dLbls>
        <c:gapWidth val="150"/>
        <c:shape val="box"/>
        <c:axId val="163753264"/>
        <c:axId val="163753744"/>
        <c:axId val="0"/>
      </c:bar3DChart>
      <c:catAx>
        <c:axId val="1637532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753744"/>
        <c:crosses val="autoZero"/>
        <c:auto val="1"/>
        <c:lblAlgn val="ctr"/>
        <c:lblOffset val="100"/>
        <c:noMultiLvlLbl val="0"/>
      </c:catAx>
      <c:valAx>
        <c:axId val="163753744"/>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163753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[food_delivery_data_dashboard.xlsm]Pivot table!PivotTable3</c:name>
    <c:fmtId val="15"/>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6556749726498858E-2"/>
          <c:y val="8.0808080808080815E-2"/>
          <c:w val="0.89573901652275578"/>
          <c:h val="0.71632148254195493"/>
        </c:manualLayout>
      </c:layout>
      <c:barChart>
        <c:barDir val="col"/>
        <c:grouping val="clustered"/>
        <c:varyColors val="0"/>
        <c:ser>
          <c:idx val="0"/>
          <c:order val="0"/>
          <c:tx>
            <c:strRef>
              <c:f>'Pivot table'!$H$3</c:f>
              <c:strCache>
                <c:ptCount val="1"/>
                <c:pt idx="0">
                  <c:v>Total</c:v>
                </c:pt>
              </c:strCache>
            </c:strRef>
          </c:tx>
          <c:spPr>
            <a:solidFill>
              <a:schemeClr val="accent2"/>
            </a:solidFill>
            <a:ln>
              <a:noFill/>
            </a:ln>
            <a:effectLst/>
          </c:spPr>
          <c:invertIfNegative val="0"/>
          <c:cat>
            <c:strRef>
              <c:f>'Pivot table'!$G$4:$G$12</c:f>
              <c:strCache>
                <c:ptCount val="8"/>
                <c:pt idx="0">
                  <c:v>Cheese Burst Pizza</c:v>
                </c:pt>
                <c:pt idx="1">
                  <c:v>Chicken Biryani</c:v>
                </c:pt>
                <c:pt idx="2">
                  <c:v>Chicken Bucket</c:v>
                </c:pt>
                <c:pt idx="3">
                  <c:v>Chicken Whopper</c:v>
                </c:pt>
                <c:pt idx="4">
                  <c:v>McAloo Tikki</c:v>
                </c:pt>
                <c:pt idx="5">
                  <c:v>Paneer Sub</c:v>
                </c:pt>
                <c:pt idx="6">
                  <c:v>Pav Bhaji</c:v>
                </c:pt>
                <c:pt idx="7">
                  <c:v>Veg Pizza</c:v>
                </c:pt>
              </c:strCache>
            </c:strRef>
          </c:cat>
          <c:val>
            <c:numRef>
              <c:f>'Pivot table'!$H$4:$H$12</c:f>
              <c:numCache>
                <c:formatCode>General</c:formatCode>
                <c:ptCount val="8"/>
                <c:pt idx="0">
                  <c:v>13</c:v>
                </c:pt>
                <c:pt idx="1">
                  <c:v>15</c:v>
                </c:pt>
                <c:pt idx="2">
                  <c:v>11</c:v>
                </c:pt>
                <c:pt idx="3">
                  <c:v>10</c:v>
                </c:pt>
                <c:pt idx="4">
                  <c:v>17</c:v>
                </c:pt>
                <c:pt idx="5">
                  <c:v>7</c:v>
                </c:pt>
                <c:pt idx="6">
                  <c:v>16</c:v>
                </c:pt>
                <c:pt idx="7">
                  <c:v>11</c:v>
                </c:pt>
              </c:numCache>
            </c:numRef>
          </c:val>
          <c:extLst>
            <c:ext xmlns:c16="http://schemas.microsoft.com/office/drawing/2014/chart" uri="{C3380CC4-5D6E-409C-BE32-E72D297353CC}">
              <c16:uniqueId val="{00000000-7157-4A03-B969-F087B8E0D27D}"/>
            </c:ext>
          </c:extLst>
        </c:ser>
        <c:dLbls>
          <c:showLegendKey val="0"/>
          <c:showVal val="0"/>
          <c:showCatName val="0"/>
          <c:showSerName val="0"/>
          <c:showPercent val="0"/>
          <c:showBubbleSize val="0"/>
        </c:dLbls>
        <c:gapWidth val="219"/>
        <c:overlap val="-27"/>
        <c:axId val="571155312"/>
        <c:axId val="571138992"/>
      </c:barChart>
      <c:catAx>
        <c:axId val="57115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138992"/>
        <c:crosses val="autoZero"/>
        <c:auto val="1"/>
        <c:lblAlgn val="ctr"/>
        <c:lblOffset val="100"/>
        <c:noMultiLvlLbl val="0"/>
      </c:catAx>
      <c:valAx>
        <c:axId val="5711389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15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[food_delivery_data_dashboard.xlsm]Pivot table!PivotTable4</c:name>
    <c:fmtId val="19"/>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560586176727912E-2"/>
          <c:y val="7.407407407407407E-2"/>
          <c:w val="0.90060454943132107"/>
          <c:h val="0.71910979877515313"/>
        </c:manualLayout>
      </c:layout>
      <c:lineChart>
        <c:grouping val="standard"/>
        <c:varyColors val="0"/>
        <c:ser>
          <c:idx val="0"/>
          <c:order val="0"/>
          <c:tx>
            <c:strRef>
              <c:f>'Pivot table'!$B$14</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table'!$A$15:$A$26</c:f>
              <c:strCache>
                <c:ptCount val="11"/>
                <c:pt idx="0">
                  <c:v>2025-06-01</c:v>
                </c:pt>
                <c:pt idx="1">
                  <c:v>2025-06-02</c:v>
                </c:pt>
                <c:pt idx="2">
                  <c:v>2025-06-03</c:v>
                </c:pt>
                <c:pt idx="3">
                  <c:v>2025-06-04</c:v>
                </c:pt>
                <c:pt idx="4">
                  <c:v>2025-06-05</c:v>
                </c:pt>
                <c:pt idx="5">
                  <c:v>2025-06-06</c:v>
                </c:pt>
                <c:pt idx="6">
                  <c:v>2025-06-07</c:v>
                </c:pt>
                <c:pt idx="7">
                  <c:v>2025-06-08</c:v>
                </c:pt>
                <c:pt idx="8">
                  <c:v>2025-06-09</c:v>
                </c:pt>
                <c:pt idx="9">
                  <c:v>2025-06-10</c:v>
                </c:pt>
                <c:pt idx="10">
                  <c:v>2025-06-11</c:v>
                </c:pt>
              </c:strCache>
            </c:strRef>
          </c:cat>
          <c:val>
            <c:numRef>
              <c:f>'Pivot table'!$B$15:$B$26</c:f>
              <c:numCache>
                <c:formatCode>General</c:formatCode>
                <c:ptCount val="11"/>
                <c:pt idx="0">
                  <c:v>11</c:v>
                </c:pt>
                <c:pt idx="1">
                  <c:v>12</c:v>
                </c:pt>
                <c:pt idx="2">
                  <c:v>10</c:v>
                </c:pt>
                <c:pt idx="3">
                  <c:v>4</c:v>
                </c:pt>
                <c:pt idx="4">
                  <c:v>11</c:v>
                </c:pt>
                <c:pt idx="5">
                  <c:v>7</c:v>
                </c:pt>
                <c:pt idx="6">
                  <c:v>8</c:v>
                </c:pt>
                <c:pt idx="7">
                  <c:v>13</c:v>
                </c:pt>
                <c:pt idx="8">
                  <c:v>9</c:v>
                </c:pt>
                <c:pt idx="9">
                  <c:v>6</c:v>
                </c:pt>
                <c:pt idx="10">
                  <c:v>9</c:v>
                </c:pt>
              </c:numCache>
            </c:numRef>
          </c:val>
          <c:smooth val="0"/>
          <c:extLst>
            <c:ext xmlns:c16="http://schemas.microsoft.com/office/drawing/2014/chart" uri="{C3380CC4-5D6E-409C-BE32-E72D297353CC}">
              <c16:uniqueId val="{00000000-6506-468C-9AF6-84FFB4F7B113}"/>
            </c:ext>
          </c:extLst>
        </c:ser>
        <c:dLbls>
          <c:showLegendKey val="0"/>
          <c:showVal val="0"/>
          <c:showCatName val="0"/>
          <c:showSerName val="0"/>
          <c:showPercent val="0"/>
          <c:showBubbleSize val="0"/>
        </c:dLbls>
        <c:smooth val="0"/>
        <c:axId val="1959559280"/>
        <c:axId val="162019312"/>
      </c:lineChart>
      <c:catAx>
        <c:axId val="1959559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019312"/>
        <c:crosses val="autoZero"/>
        <c:auto val="1"/>
        <c:lblAlgn val="ctr"/>
        <c:lblOffset val="100"/>
        <c:noMultiLvlLbl val="0"/>
      </c:catAx>
      <c:valAx>
        <c:axId val="1620193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955928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[food_delivery_data_dashboard.xlsm]Pivot table!PivotTable5</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Delivery Status Split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'Pivot table'!$E$15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10E-4FAD-9BA2-4DC5B2401EC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10E-4FAD-9BA2-4DC5B2401EC3}"/>
              </c:ext>
            </c:extLst>
          </c:dPt>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table'!$D$16:$D$18</c:f>
              <c:strCache>
                <c:ptCount val="2"/>
                <c:pt idx="0">
                  <c:v>Cancelled</c:v>
                </c:pt>
                <c:pt idx="1">
                  <c:v>Delivered</c:v>
                </c:pt>
              </c:strCache>
            </c:strRef>
          </c:cat>
          <c:val>
            <c:numRef>
              <c:f>'Pivot table'!$E$16:$E$18</c:f>
              <c:numCache>
                <c:formatCode>General</c:formatCode>
                <c:ptCount val="2"/>
                <c:pt idx="0">
                  <c:v>10</c:v>
                </c:pt>
                <c:pt idx="1">
                  <c:v>90</c:v>
                </c:pt>
              </c:numCache>
            </c:numRef>
          </c:val>
          <c:extLst>
            <c:ext xmlns:c16="http://schemas.microsoft.com/office/drawing/2014/chart" uri="{C3380CC4-5D6E-409C-BE32-E72D297353CC}">
              <c16:uniqueId val="{00000004-310E-4FAD-9BA2-4DC5B2401EC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80457874015748043"/>
          <c:y val="0.30171223388743068"/>
          <c:w val="0.14264348206474189"/>
          <c:h val="0.156251093613298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[food_delivery_data_dashboard.xlsm]Pivot table!PivotTable6</c:name>
    <c:fmtId val="28"/>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Payment Mode Split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baseline="0"/>
                  <a:t> </a:t>
                </a:r>
                <a:fld id="{6EEC630D-E206-4451-B79C-6C1DDF3D33E1}" type="PERCENTAGE">
                  <a:rPr lang="en-US" baseline="0"/>
                  <a:pPr>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6"/>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baseline="0"/>
                  <a:t> </a:t>
                </a:r>
                <a:fld id="{057F5679-BFB0-4561-9FA1-CFABF95A2555}" type="PERCENTAGE">
                  <a:rPr lang="en-US" baseline="0"/>
                  <a:pPr>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s>
    <c:plotArea>
      <c:layout/>
      <c:doughnutChart>
        <c:varyColors val="1"/>
        <c:ser>
          <c:idx val="0"/>
          <c:order val="0"/>
          <c:tx>
            <c:strRef>
              <c:f>'Pivot table'!$H$15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9B2-46D9-B0AE-1118646FA31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9B2-46D9-B0AE-1118646FA31E}"/>
              </c:ext>
            </c:extLst>
          </c:dPt>
          <c:dLbls>
            <c:dLbl>
              <c:idx val="0"/>
              <c:tx>
                <c:rich>
                  <a:bodyPr/>
                  <a:lstStyle/>
                  <a:p>
                    <a:r>
                      <a:rPr lang="en-US" baseline="0"/>
                      <a:t> </a:t>
                    </a:r>
                    <a:fld id="{6EEC630D-E206-4451-B79C-6C1DDF3D33E1}" type="PERCENTAGE">
                      <a:rPr lang="en-US" baseline="0"/>
                      <a:pPr/>
                      <a:t>[PERCENTAGE]</a:t>
                    </a:fld>
                    <a:endParaRPr lang="en-US" baseline="0"/>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19B2-46D9-B0AE-1118646FA31E}"/>
                </c:ext>
              </c:extLst>
            </c:dLbl>
            <c:dLbl>
              <c:idx val="1"/>
              <c:tx>
                <c:rich>
                  <a:bodyPr/>
                  <a:lstStyle/>
                  <a:p>
                    <a:r>
                      <a:rPr lang="en-US" baseline="0"/>
                      <a:t> </a:t>
                    </a:r>
                    <a:fld id="{057F5679-BFB0-4561-9FA1-CFABF95A2555}" type="PERCENTAGE">
                      <a:rPr lang="en-US" baseline="0"/>
                      <a:pPr/>
                      <a:t>[PERCENTAGE]</a:t>
                    </a:fld>
                    <a:endParaRPr lang="en-US" baseline="0"/>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9B2-46D9-B0AE-1118646FA31E}"/>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table'!$G$16:$G$18</c:f>
              <c:strCache>
                <c:ptCount val="2"/>
                <c:pt idx="0">
                  <c:v>Cash</c:v>
                </c:pt>
                <c:pt idx="1">
                  <c:v>Online</c:v>
                </c:pt>
              </c:strCache>
            </c:strRef>
          </c:cat>
          <c:val>
            <c:numRef>
              <c:f>'Pivot table'!$H$16:$H$18</c:f>
              <c:numCache>
                <c:formatCode>General</c:formatCode>
                <c:ptCount val="2"/>
                <c:pt idx="0">
                  <c:v>49</c:v>
                </c:pt>
                <c:pt idx="1">
                  <c:v>51</c:v>
                </c:pt>
              </c:numCache>
            </c:numRef>
          </c:val>
          <c:extLst>
            <c:ext xmlns:c16="http://schemas.microsoft.com/office/drawing/2014/chart" uri="{C3380CC4-5D6E-409C-BE32-E72D297353CC}">
              <c16:uniqueId val="{00000004-19B2-46D9-B0AE-1118646FA31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83634273840769902"/>
          <c:y val="0.28075768969889997"/>
          <c:w val="0.11087948381452319"/>
          <c:h val="0.1580067238786163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[food_delivery_data_dashboard.xlsm]Pivot table!PivotTable11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Ratings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table'!$Q$27</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197D-4856-B640-54151B90756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197D-4856-B640-54151B90756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197D-4856-B640-54151B90756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197D-4856-B640-54151B907566}"/>
              </c:ext>
            </c:extLst>
          </c:dPt>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table'!$P$28:$P$32</c:f>
              <c:strCache>
                <c:ptCount val="4"/>
                <c:pt idx="0">
                  <c:v>3</c:v>
                </c:pt>
                <c:pt idx="1">
                  <c:v>4</c:v>
                </c:pt>
                <c:pt idx="2">
                  <c:v>5</c:v>
                </c:pt>
                <c:pt idx="3">
                  <c:v>-</c:v>
                </c:pt>
              </c:strCache>
            </c:strRef>
          </c:cat>
          <c:val>
            <c:numRef>
              <c:f>'Pivot table'!$Q$28:$Q$32</c:f>
              <c:numCache>
                <c:formatCode>General</c:formatCode>
                <c:ptCount val="4"/>
                <c:pt idx="0">
                  <c:v>33</c:v>
                </c:pt>
                <c:pt idx="1">
                  <c:v>32</c:v>
                </c:pt>
                <c:pt idx="2">
                  <c:v>25</c:v>
                </c:pt>
                <c:pt idx="3">
                  <c:v>10</c:v>
                </c:pt>
              </c:numCache>
            </c:numRef>
          </c:val>
          <c:extLst>
            <c:ext xmlns:c16="http://schemas.microsoft.com/office/drawing/2014/chart" uri="{C3380CC4-5D6E-409C-BE32-E72D297353CC}">
              <c16:uniqueId val="{0000000B-A62C-408C-9D7E-E3BB2D42D436}"/>
            </c:ext>
          </c:extLst>
        </c:ser>
        <c:dLbls>
          <c:showLegendKey val="0"/>
          <c:showVal val="0"/>
          <c:showCatName val="0"/>
          <c:showSerName val="0"/>
          <c:showPercent val="0"/>
          <c:showBubbleSize val="0"/>
          <c:showLeaderLines val="1"/>
        </c:dLbls>
      </c:pie3DChart>
      <c:spPr>
        <a:noFill/>
        <a:ln>
          <a:noFill/>
        </a:ln>
        <a:effectLst/>
      </c:spPr>
    </c:plotArea>
    <c:legend>
      <c:legendPos val="r"/>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[food_delivery_data_dashboard.xlsm]Pivot table!PivotTable16</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bar3DChart>
        <c:barDir val="bar"/>
        <c:grouping val="stacked"/>
        <c:varyColors val="0"/>
        <c:ser>
          <c:idx val="0"/>
          <c:order val="0"/>
          <c:tx>
            <c:strRef>
              <c:f>'Pivot table'!$I$45</c:f>
              <c:strCache>
                <c:ptCount val="1"/>
                <c:pt idx="0">
                  <c:v>Total</c:v>
                </c:pt>
              </c:strCache>
            </c:strRef>
          </c:tx>
          <c:spPr>
            <a:solidFill>
              <a:schemeClr val="accent3"/>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table'!$H$46:$H$51</c:f>
              <c:strCache>
                <c:ptCount val="5"/>
                <c:pt idx="0">
                  <c:v>Customer_1041</c:v>
                </c:pt>
                <c:pt idx="1">
                  <c:v>Customer_1055</c:v>
                </c:pt>
                <c:pt idx="2">
                  <c:v>Customer_1067</c:v>
                </c:pt>
                <c:pt idx="3">
                  <c:v>Customer_1075</c:v>
                </c:pt>
                <c:pt idx="4">
                  <c:v>Customer_1099</c:v>
                </c:pt>
              </c:strCache>
            </c:strRef>
          </c:cat>
          <c:val>
            <c:numRef>
              <c:f>'Pivot table'!$I$46:$I$51</c:f>
              <c:numCache>
                <c:formatCode>General</c:formatCode>
                <c:ptCount val="5"/>
                <c:pt idx="0">
                  <c:v>1422</c:v>
                </c:pt>
                <c:pt idx="1">
                  <c:v>1383</c:v>
                </c:pt>
                <c:pt idx="2">
                  <c:v>1449</c:v>
                </c:pt>
                <c:pt idx="3">
                  <c:v>1473</c:v>
                </c:pt>
                <c:pt idx="4">
                  <c:v>1473</c:v>
                </c:pt>
              </c:numCache>
            </c:numRef>
          </c:val>
          <c:extLst>
            <c:ext xmlns:c16="http://schemas.microsoft.com/office/drawing/2014/chart" uri="{C3380CC4-5D6E-409C-BE32-E72D297353CC}">
              <c16:uniqueId val="{00000000-A0EB-4378-8095-FD2D27DEA645}"/>
            </c:ext>
          </c:extLst>
        </c:ser>
        <c:dLbls>
          <c:showLegendKey val="0"/>
          <c:showVal val="1"/>
          <c:showCatName val="0"/>
          <c:showSerName val="0"/>
          <c:showPercent val="0"/>
          <c:showBubbleSize val="0"/>
        </c:dLbls>
        <c:gapWidth val="79"/>
        <c:shape val="box"/>
        <c:axId val="2101687520"/>
        <c:axId val="2101688000"/>
        <c:axId val="0"/>
      </c:bar3DChart>
      <c:catAx>
        <c:axId val="2101687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01688000"/>
        <c:crosses val="autoZero"/>
        <c:auto val="1"/>
        <c:lblAlgn val="ctr"/>
        <c:lblOffset val="100"/>
        <c:noMultiLvlLbl val="0"/>
      </c:catAx>
      <c:valAx>
        <c:axId val="2101688000"/>
        <c:scaling>
          <c:orientation val="minMax"/>
        </c:scaling>
        <c:delete val="1"/>
        <c:axPos val="b"/>
        <c:numFmt formatCode="General" sourceLinked="1"/>
        <c:majorTickMark val="none"/>
        <c:minorTickMark val="none"/>
        <c:tickLblPos val="nextTo"/>
        <c:crossAx val="2101687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[food_delivery_data_dashboard.xlsm]Pivot table!PivotTable12</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Delivery</a:t>
            </a:r>
            <a:r>
              <a:rPr lang="en-US" baseline="0"/>
              <a:t> Partners</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alpha val="85000"/>
            </a:schemeClr>
          </a:solidFill>
          <a:ln>
            <a:noFill/>
          </a:ln>
          <a:effectLst>
            <a:innerShdw dist="12700" dir="16200000">
              <a:schemeClr val="lt1"/>
            </a:innerShdw>
          </a:effectLst>
        </c:spPr>
        <c:marker>
          <c:symbol val="circle"/>
          <c:size val="6"/>
          <c:spPr>
            <a:solidFill>
              <a:schemeClr val="accent4">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table'!$U$27</c:f>
              <c:strCache>
                <c:ptCount val="1"/>
                <c:pt idx="0">
                  <c:v>Total</c:v>
                </c:pt>
              </c:strCache>
            </c:strRef>
          </c:tx>
          <c:spPr>
            <a:solidFill>
              <a:schemeClr val="accent4">
                <a:alpha val="85000"/>
              </a:schemeClr>
            </a:solidFill>
            <a:ln>
              <a:noFill/>
            </a:ln>
            <a:effectLst>
              <a:innerShdw dist="12700" dir="16200000">
                <a:schemeClr val="lt1"/>
              </a:innerShdw>
            </a:effectLst>
          </c:spPr>
          <c:cat>
            <c:strRef>
              <c:f>'Pivot table'!$T$28:$T$30</c:f>
              <c:strCache>
                <c:ptCount val="2"/>
                <c:pt idx="0">
                  <c:v>Swiggy</c:v>
                </c:pt>
                <c:pt idx="1">
                  <c:v>Zomato</c:v>
                </c:pt>
              </c:strCache>
            </c:strRef>
          </c:cat>
          <c:val>
            <c:numRef>
              <c:f>'Pivot table'!$U$28:$U$30</c:f>
              <c:numCache>
                <c:formatCode>General</c:formatCode>
                <c:ptCount val="2"/>
                <c:pt idx="0">
                  <c:v>62</c:v>
                </c:pt>
                <c:pt idx="1">
                  <c:v>38</c:v>
                </c:pt>
              </c:numCache>
            </c:numRef>
          </c:val>
          <c:extLst>
            <c:ext xmlns:c16="http://schemas.microsoft.com/office/drawing/2014/chart" uri="{C3380CC4-5D6E-409C-BE32-E72D297353CC}">
              <c16:uniqueId val="{00000000-BB77-4735-9809-DE08FDCBA77A}"/>
            </c:ext>
          </c:extLst>
        </c:ser>
        <c:dLbls>
          <c:showLegendKey val="0"/>
          <c:showVal val="0"/>
          <c:showCatName val="0"/>
          <c:showSerName val="0"/>
          <c:showPercent val="0"/>
          <c:showBubbleSize val="0"/>
        </c:dLbls>
        <c:axId val="1363617216"/>
        <c:axId val="1363617696"/>
      </c:areaChart>
      <c:catAx>
        <c:axId val="136361721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63617696"/>
        <c:crosses val="autoZero"/>
        <c:auto val="1"/>
        <c:lblAlgn val="ctr"/>
        <c:lblOffset val="100"/>
        <c:noMultiLvlLbl val="0"/>
      </c:catAx>
      <c:valAx>
        <c:axId val="1363617696"/>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36361721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6">
  <a:schemeClr val="accent3"/>
</cs:colorStyle>
</file>

<file path=xl/charts/colors10.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12</xdr:col>
      <xdr:colOff>533400</xdr:colOff>
      <xdr:row>26</xdr:row>
      <xdr:rowOff>148590</xdr:rowOff>
    </xdr:from>
    <xdr:to>
      <xdr:col>18</xdr:col>
      <xdr:colOff>182880</xdr:colOff>
      <xdr:row>41</xdr:row>
      <xdr:rowOff>148590</xdr:rowOff>
    </xdr:to>
    <xdr:graphicFrame macro="">
      <xdr:nvGraphicFramePr>
        <xdr:cNvPr id="2" name="Chart 1">
          <a:extLst>
            <a:ext uri="{FF2B5EF4-FFF2-40B4-BE49-F238E27FC236}">
              <a16:creationId xmlns:a16="http://schemas.microsoft.com/office/drawing/2014/main" id="{60CAB20B-1E23-A200-9C1E-CC65DF9656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6</xdr:row>
      <xdr:rowOff>15240</xdr:rowOff>
    </xdr:from>
    <xdr:to>
      <xdr:col>6</xdr:col>
      <xdr:colOff>426720</xdr:colOff>
      <xdr:row>18</xdr:row>
      <xdr:rowOff>85530</xdr:rowOff>
    </xdr:to>
    <xdr:graphicFrame macro="">
      <xdr:nvGraphicFramePr>
        <xdr:cNvPr id="2" name="Chart 1">
          <a:extLst>
            <a:ext uri="{FF2B5EF4-FFF2-40B4-BE49-F238E27FC236}">
              <a16:creationId xmlns:a16="http://schemas.microsoft.com/office/drawing/2014/main" id="{015B8F2E-3AE1-4C9F-9FDB-BE0F11858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xdr:colOff>
      <xdr:row>2</xdr:row>
      <xdr:rowOff>7776</xdr:rowOff>
    </xdr:from>
    <xdr:to>
      <xdr:col>9</xdr:col>
      <xdr:colOff>381000</xdr:colOff>
      <xdr:row>6</xdr:row>
      <xdr:rowOff>22859</xdr:rowOff>
    </xdr:to>
    <mc:AlternateContent xmlns:mc="http://schemas.openxmlformats.org/markup-compatibility/2006" xmlns:a14="http://schemas.microsoft.com/office/drawing/2010/main">
      <mc:Choice Requires="a14">
        <xdr:graphicFrame macro="">
          <xdr:nvGraphicFramePr>
            <xdr:cNvPr id="3" name="Location">
              <a:extLst>
                <a:ext uri="{FF2B5EF4-FFF2-40B4-BE49-F238E27FC236}">
                  <a16:creationId xmlns:a16="http://schemas.microsoft.com/office/drawing/2014/main" id="{5C99A20A-ED26-0CAA-3883-2D635F951E36}"/>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7620" y="533398"/>
              <a:ext cx="409194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419100</xdr:colOff>
      <xdr:row>6</xdr:row>
      <xdr:rowOff>45720</xdr:rowOff>
    </xdr:from>
    <xdr:to>
      <xdr:col>17</xdr:col>
      <xdr:colOff>76200</xdr:colOff>
      <xdr:row>18</xdr:row>
      <xdr:rowOff>76200</xdr:rowOff>
    </xdr:to>
    <xdr:graphicFrame macro="">
      <xdr:nvGraphicFramePr>
        <xdr:cNvPr id="4" name="Chart 3">
          <a:extLst>
            <a:ext uri="{FF2B5EF4-FFF2-40B4-BE49-F238E27FC236}">
              <a16:creationId xmlns:a16="http://schemas.microsoft.com/office/drawing/2014/main" id="{094AE904-38F5-489C-ACCC-5E69392C40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387688</xdr:colOff>
      <xdr:row>2</xdr:row>
      <xdr:rowOff>7620</xdr:rowOff>
    </xdr:from>
    <xdr:to>
      <xdr:col>26</xdr:col>
      <xdr:colOff>0</xdr:colOff>
      <xdr:row>6</xdr:row>
      <xdr:rowOff>38100</xdr:rowOff>
    </xdr:to>
    <mc:AlternateContent xmlns:mc="http://schemas.openxmlformats.org/markup-compatibility/2006" xmlns:a14="http://schemas.microsoft.com/office/drawing/2010/main">
      <mc:Choice Requires="a14">
        <xdr:graphicFrame macro="">
          <xdr:nvGraphicFramePr>
            <xdr:cNvPr id="5" name="Restaurant">
              <a:extLst>
                <a:ext uri="{FF2B5EF4-FFF2-40B4-BE49-F238E27FC236}">
                  <a16:creationId xmlns:a16="http://schemas.microsoft.com/office/drawing/2014/main" id="{F1C288EF-E996-41CD-FE73-5A599A80220E}"/>
                </a:ext>
              </a:extLst>
            </xdr:cNvPr>
            <xdr:cNvGraphicFramePr/>
          </xdr:nvGraphicFramePr>
          <xdr:xfrm>
            <a:off x="0" y="0"/>
            <a:ext cx="0" cy="0"/>
          </xdr:xfrm>
          <a:graphic>
            <a:graphicData uri="http://schemas.microsoft.com/office/drawing/2010/slicer">
              <sle:slicer xmlns:sle="http://schemas.microsoft.com/office/drawing/2010/slicer" name="Restaurant"/>
            </a:graphicData>
          </a:graphic>
        </xdr:graphicFrame>
      </mc:Choice>
      <mc:Fallback xmlns="">
        <xdr:sp macro="" textlink="">
          <xdr:nvSpPr>
            <xdr:cNvPr id="0" name=""/>
            <xdr:cNvSpPr>
              <a:spLocks noTextEdit="1"/>
            </xdr:cNvSpPr>
          </xdr:nvSpPr>
          <xdr:spPr>
            <a:xfrm>
              <a:off x="5858677" y="512766"/>
              <a:ext cx="9946402" cy="7496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76200</xdr:colOff>
      <xdr:row>6</xdr:row>
      <xdr:rowOff>22860</xdr:rowOff>
    </xdr:from>
    <xdr:to>
      <xdr:col>25</xdr:col>
      <xdr:colOff>586740</xdr:colOff>
      <xdr:row>18</xdr:row>
      <xdr:rowOff>76200</xdr:rowOff>
    </xdr:to>
    <xdr:graphicFrame macro="">
      <xdr:nvGraphicFramePr>
        <xdr:cNvPr id="6" name="Chart 5">
          <a:extLst>
            <a:ext uri="{FF2B5EF4-FFF2-40B4-BE49-F238E27FC236}">
              <a16:creationId xmlns:a16="http://schemas.microsoft.com/office/drawing/2014/main" id="{B21B1D0F-9453-4212-BBD7-C34A4A4B75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25</xdr:row>
      <xdr:rowOff>62204</xdr:rowOff>
    </xdr:from>
    <xdr:to>
      <xdr:col>8</xdr:col>
      <xdr:colOff>77755</xdr:colOff>
      <xdr:row>40</xdr:row>
      <xdr:rowOff>76200</xdr:rowOff>
    </xdr:to>
    <xdr:graphicFrame macro="">
      <xdr:nvGraphicFramePr>
        <xdr:cNvPr id="7" name="Chart 6">
          <a:extLst>
            <a:ext uri="{FF2B5EF4-FFF2-40B4-BE49-F238E27FC236}">
              <a16:creationId xmlns:a16="http://schemas.microsoft.com/office/drawing/2014/main" id="{8A2FFDC4-86E0-404F-A37C-897037C837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7620</xdr:colOff>
      <xdr:row>18</xdr:row>
      <xdr:rowOff>77755</xdr:rowOff>
    </xdr:from>
    <xdr:to>
      <xdr:col>7</xdr:col>
      <xdr:colOff>342122</xdr:colOff>
      <xdr:row>25</xdr:row>
      <xdr:rowOff>83820</xdr:rowOff>
    </xdr:to>
    <mc:AlternateContent xmlns:mc="http://schemas.openxmlformats.org/markup-compatibility/2006" xmlns:tsle="http://schemas.microsoft.com/office/drawing/2012/timeslicer">
      <mc:Choice Requires="tsle">
        <xdr:graphicFrame macro="">
          <xdr:nvGraphicFramePr>
            <xdr:cNvPr id="8" name="Order_Date">
              <a:extLst>
                <a:ext uri="{FF2B5EF4-FFF2-40B4-BE49-F238E27FC236}">
                  <a16:creationId xmlns:a16="http://schemas.microsoft.com/office/drawing/2014/main" id="{1A9EBB28-3686-AAD4-6390-AD9866FBF729}"/>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7620" y="3482340"/>
              <a:ext cx="4610100" cy="131826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8</xdr:col>
      <xdr:colOff>83820</xdr:colOff>
      <xdr:row>25</xdr:row>
      <xdr:rowOff>62204</xdr:rowOff>
    </xdr:from>
    <xdr:to>
      <xdr:col>17</xdr:col>
      <xdr:colOff>76200</xdr:colOff>
      <xdr:row>40</xdr:row>
      <xdr:rowOff>91440</xdr:rowOff>
    </xdr:to>
    <xdr:graphicFrame macro="">
      <xdr:nvGraphicFramePr>
        <xdr:cNvPr id="9" name="Chart 8">
          <a:extLst>
            <a:ext uri="{FF2B5EF4-FFF2-40B4-BE49-F238E27FC236}">
              <a16:creationId xmlns:a16="http://schemas.microsoft.com/office/drawing/2014/main" id="{A5DC85F5-0CA5-4F9D-A150-4DB5FBA653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91440</xdr:colOff>
      <xdr:row>25</xdr:row>
      <xdr:rowOff>46653</xdr:rowOff>
    </xdr:from>
    <xdr:to>
      <xdr:col>26</xdr:col>
      <xdr:colOff>7620</xdr:colOff>
      <xdr:row>40</xdr:row>
      <xdr:rowOff>91440</xdr:rowOff>
    </xdr:to>
    <xdr:graphicFrame macro="">
      <xdr:nvGraphicFramePr>
        <xdr:cNvPr id="10" name="Chart 9">
          <a:extLst>
            <a:ext uri="{FF2B5EF4-FFF2-40B4-BE49-F238E27FC236}">
              <a16:creationId xmlns:a16="http://schemas.microsoft.com/office/drawing/2014/main" id="{BE1E796A-A3F6-4595-8129-72CA01AAF7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16</xdr:col>
      <xdr:colOff>563414</xdr:colOff>
      <xdr:row>18</xdr:row>
      <xdr:rowOff>54272</xdr:rowOff>
    </xdr:from>
    <xdr:to>
      <xdr:col>26</xdr:col>
      <xdr:colOff>17123</xdr:colOff>
      <xdr:row>25</xdr:row>
      <xdr:rowOff>15551</xdr:rowOff>
    </xdr:to>
    <mc:AlternateContent xmlns:mc="http://schemas.openxmlformats.org/markup-compatibility/2006" xmlns:a14="http://schemas.microsoft.com/office/drawing/2010/main">
      <mc:Choice Requires="a14">
        <xdr:graphicFrame macro="">
          <xdr:nvGraphicFramePr>
            <xdr:cNvPr id="11" name="Payment_Method">
              <a:extLst>
                <a:ext uri="{FF2B5EF4-FFF2-40B4-BE49-F238E27FC236}">
                  <a16:creationId xmlns:a16="http://schemas.microsoft.com/office/drawing/2014/main" id="{D6645038-D03C-607E-4EBF-78CE427EFD3E}"/>
                </a:ext>
              </a:extLst>
            </xdr:cNvPr>
            <xdr:cNvGraphicFramePr/>
          </xdr:nvGraphicFramePr>
          <xdr:xfrm>
            <a:off x="0" y="0"/>
            <a:ext cx="0" cy="0"/>
          </xdr:xfrm>
          <a:graphic>
            <a:graphicData uri="http://schemas.microsoft.com/office/drawing/2010/slicer">
              <sle:slicer xmlns:sle="http://schemas.microsoft.com/office/drawing/2010/slicer" name="Payment_Method"/>
            </a:graphicData>
          </a:graphic>
        </xdr:graphicFrame>
      </mc:Choice>
      <mc:Fallback xmlns="">
        <xdr:sp macro="" textlink="">
          <xdr:nvSpPr>
            <xdr:cNvPr id="0" name=""/>
            <xdr:cNvSpPr>
              <a:spLocks noTextEdit="1"/>
            </xdr:cNvSpPr>
          </xdr:nvSpPr>
          <xdr:spPr>
            <a:xfrm>
              <a:off x="10289616" y="3436182"/>
              <a:ext cx="5333246" cy="12198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45</xdr:row>
      <xdr:rowOff>25686</xdr:rowOff>
    </xdr:from>
    <xdr:to>
      <xdr:col>8</xdr:col>
      <xdr:colOff>162674</xdr:colOff>
      <xdr:row>60</xdr:row>
      <xdr:rowOff>68495</xdr:rowOff>
    </xdr:to>
    <xdr:graphicFrame macro="">
      <xdr:nvGraphicFramePr>
        <xdr:cNvPr id="12" name="Chart 11">
          <a:extLst>
            <a:ext uri="{FF2B5EF4-FFF2-40B4-BE49-F238E27FC236}">
              <a16:creationId xmlns:a16="http://schemas.microsoft.com/office/drawing/2014/main" id="{6B08519A-6D70-4D8E-87C0-CF59A1F19F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0</xdr:colOff>
      <xdr:row>40</xdr:row>
      <xdr:rowOff>69980</xdr:rowOff>
    </xdr:from>
    <xdr:to>
      <xdr:col>4</xdr:col>
      <xdr:colOff>50230</xdr:colOff>
      <xdr:row>45</xdr:row>
      <xdr:rowOff>0</xdr:rowOff>
    </xdr:to>
    <mc:AlternateContent xmlns:mc="http://schemas.openxmlformats.org/markup-compatibility/2006" xmlns:a14="http://schemas.microsoft.com/office/drawing/2010/main">
      <mc:Choice Requires="a14">
        <xdr:graphicFrame macro="">
          <xdr:nvGraphicFramePr>
            <xdr:cNvPr id="13" name="Rating">
              <a:extLst>
                <a:ext uri="{FF2B5EF4-FFF2-40B4-BE49-F238E27FC236}">
                  <a16:creationId xmlns:a16="http://schemas.microsoft.com/office/drawing/2014/main" id="{5F9EE8C4-02F3-339E-5C64-58BE94461080}"/>
                </a:ext>
              </a:extLst>
            </xdr:cNvPr>
            <xdr:cNvGraphicFramePr/>
          </xdr:nvGraphicFramePr>
          <xdr:xfrm>
            <a:off x="0" y="0"/>
            <a:ext cx="0" cy="0"/>
          </xdr:xfrm>
          <a:graphic>
            <a:graphicData uri="http://schemas.microsoft.com/office/drawing/2010/slicer">
              <sle:slicer xmlns:sle="http://schemas.microsoft.com/office/drawing/2010/slicer" name="Rating"/>
            </a:graphicData>
          </a:graphic>
        </xdr:graphicFrame>
      </mc:Choice>
      <mc:Fallback xmlns="">
        <xdr:sp macro="" textlink="">
          <xdr:nvSpPr>
            <xdr:cNvPr id="0" name=""/>
            <xdr:cNvSpPr>
              <a:spLocks noTextEdit="1"/>
            </xdr:cNvSpPr>
          </xdr:nvSpPr>
          <xdr:spPr>
            <a:xfrm>
              <a:off x="0" y="7407441"/>
              <a:ext cx="2481781" cy="8290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145987</xdr:colOff>
      <xdr:row>45</xdr:row>
      <xdr:rowOff>23937</xdr:rowOff>
    </xdr:from>
    <xdr:to>
      <xdr:col>17</xdr:col>
      <xdr:colOff>8562</xdr:colOff>
      <xdr:row>60</xdr:row>
      <xdr:rowOff>85618</xdr:rowOff>
    </xdr:to>
    <xdr:graphicFrame macro="">
      <xdr:nvGraphicFramePr>
        <xdr:cNvPr id="14" name="Chart 13">
          <a:extLst>
            <a:ext uri="{FF2B5EF4-FFF2-40B4-BE49-F238E27FC236}">
              <a16:creationId xmlns:a16="http://schemas.microsoft.com/office/drawing/2014/main" id="{3E76197E-4EAC-4B5B-8F2F-860C4A664F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7</xdr:col>
      <xdr:colOff>342743</xdr:colOff>
      <xdr:row>18</xdr:row>
      <xdr:rowOff>61427</xdr:rowOff>
    </xdr:from>
    <xdr:to>
      <xdr:col>16</xdr:col>
      <xdr:colOff>553615</xdr:colOff>
      <xdr:row>25</xdr:row>
      <xdr:rowOff>35302</xdr:rowOff>
    </xdr:to>
    <mc:AlternateContent xmlns:mc="http://schemas.openxmlformats.org/markup-compatibility/2006" xmlns:a14="http://schemas.microsoft.com/office/drawing/2010/main">
      <mc:Choice Requires="a14">
        <xdr:graphicFrame macro="">
          <xdr:nvGraphicFramePr>
            <xdr:cNvPr id="15" name="Delivery_Status">
              <a:extLst>
                <a:ext uri="{FF2B5EF4-FFF2-40B4-BE49-F238E27FC236}">
                  <a16:creationId xmlns:a16="http://schemas.microsoft.com/office/drawing/2014/main" id="{65E77C54-61B7-0C9C-0CC0-A478D161FC59}"/>
                </a:ext>
              </a:extLst>
            </xdr:cNvPr>
            <xdr:cNvGraphicFramePr/>
          </xdr:nvGraphicFramePr>
          <xdr:xfrm>
            <a:off x="0" y="0"/>
            <a:ext cx="0" cy="0"/>
          </xdr:xfrm>
          <a:graphic>
            <a:graphicData uri="http://schemas.microsoft.com/office/drawing/2010/slicer">
              <sle:slicer xmlns:sle="http://schemas.microsoft.com/office/drawing/2010/slicer" name="Delivery_Status"/>
            </a:graphicData>
          </a:graphic>
        </xdr:graphicFrame>
      </mc:Choice>
      <mc:Fallback xmlns="">
        <xdr:sp macro="" textlink="">
          <xdr:nvSpPr>
            <xdr:cNvPr id="0" name=""/>
            <xdr:cNvSpPr>
              <a:spLocks noTextEdit="1"/>
            </xdr:cNvSpPr>
          </xdr:nvSpPr>
          <xdr:spPr>
            <a:xfrm>
              <a:off x="4597956" y="3443337"/>
              <a:ext cx="5681861" cy="12324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8563</xdr:colOff>
      <xdr:row>45</xdr:row>
      <xdr:rowOff>34247</xdr:rowOff>
    </xdr:from>
    <xdr:to>
      <xdr:col>26</xdr:col>
      <xdr:colOff>0</xdr:colOff>
      <xdr:row>60</xdr:row>
      <xdr:rowOff>80480</xdr:rowOff>
    </xdr:to>
    <xdr:graphicFrame macro="">
      <xdr:nvGraphicFramePr>
        <xdr:cNvPr id="16" name="Chart 15">
          <a:extLst>
            <a:ext uri="{FF2B5EF4-FFF2-40B4-BE49-F238E27FC236}">
              <a16:creationId xmlns:a16="http://schemas.microsoft.com/office/drawing/2014/main" id="{32115F86-7459-4296-B818-686E9F8A51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17</xdr:col>
      <xdr:colOff>81314</xdr:colOff>
      <xdr:row>40</xdr:row>
      <xdr:rowOff>104776</xdr:rowOff>
    </xdr:from>
    <xdr:to>
      <xdr:col>26</xdr:col>
      <xdr:colOff>0</xdr:colOff>
      <xdr:row>45</xdr:row>
      <xdr:rowOff>75239</xdr:rowOff>
    </xdr:to>
    <mc:AlternateContent xmlns:mc="http://schemas.openxmlformats.org/markup-compatibility/2006">
      <mc:Choice xmlns:a14="http://schemas.microsoft.com/office/drawing/2010/main" Requires="a14">
        <xdr:graphicFrame macro="">
          <xdr:nvGraphicFramePr>
            <xdr:cNvPr id="17" name="Delivery_Partner">
              <a:extLst>
                <a:ext uri="{FF2B5EF4-FFF2-40B4-BE49-F238E27FC236}">
                  <a16:creationId xmlns:a16="http://schemas.microsoft.com/office/drawing/2014/main" id="{A5511EDE-D00B-5C22-BDFD-AC6344B880F0}"/>
                </a:ext>
              </a:extLst>
            </xdr:cNvPr>
            <xdr:cNvGraphicFramePr/>
          </xdr:nvGraphicFramePr>
          <xdr:xfrm>
            <a:off x="0" y="0"/>
            <a:ext cx="0" cy="0"/>
          </xdr:xfrm>
          <a:graphic>
            <a:graphicData uri="http://schemas.microsoft.com/office/drawing/2010/slicer">
              <sle:slicer xmlns:sle="http://schemas.microsoft.com/office/drawing/2010/slicer" name="Delivery_Partner"/>
            </a:graphicData>
          </a:graphic>
        </xdr:graphicFrame>
      </mc:Choice>
      <mc:Fallback>
        <xdr:sp macro="" textlink="">
          <xdr:nvSpPr>
            <xdr:cNvPr id="0" name=""/>
            <xdr:cNvSpPr>
              <a:spLocks noTextEdit="1"/>
            </xdr:cNvSpPr>
          </xdr:nvSpPr>
          <xdr:spPr>
            <a:xfrm>
              <a:off x="10444514" y="7858126"/>
              <a:ext cx="5405086" cy="9229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ay Gupta" refreshedDate="45841.903834375" createdVersion="8" refreshedVersion="8" minRefreshableVersion="3" recordCount="100" xr:uid="{818BBD3B-6EA0-445C-BB33-4EAED13F5232}">
  <cacheSource type="worksheet">
    <worksheetSource ref="A1:K101" sheet="Data"/>
  </cacheSource>
  <cacheFields count="12">
    <cacheField name="Order_ID" numFmtId="0">
      <sharedItems containsSemiMixedTypes="0" containsString="0" containsNumber="1" containsInteger="1" minValue="1001" maxValue="1100"/>
    </cacheField>
    <cacheField name="Customer_Name" numFmtId="0">
      <sharedItems count="100">
        <s v="Customer_1001"/>
        <s v="Customer_1002"/>
        <s v="Customer_1003"/>
        <s v="Customer_1004"/>
        <s v="Customer_1005"/>
        <s v="Customer_1006"/>
        <s v="Customer_1007"/>
        <s v="Customer_1008"/>
        <s v="Customer_1009"/>
        <s v="Customer_1010"/>
        <s v="Customer_1011"/>
        <s v="Customer_1012"/>
        <s v="Customer_1013"/>
        <s v="Customer_1014"/>
        <s v="Customer_1015"/>
        <s v="Customer_1016"/>
        <s v="Customer_1017"/>
        <s v="Customer_1018"/>
        <s v="Customer_1019"/>
        <s v="Customer_1020"/>
        <s v="Customer_1021"/>
        <s v="Customer_1022"/>
        <s v="Customer_1023"/>
        <s v="Customer_1024"/>
        <s v="Customer_1025"/>
        <s v="Customer_1026"/>
        <s v="Customer_1027"/>
        <s v="Customer_1028"/>
        <s v="Customer_1029"/>
        <s v="Customer_1030"/>
        <s v="Customer_1031"/>
        <s v="Customer_1032"/>
        <s v="Customer_1033"/>
        <s v="Customer_1034"/>
        <s v="Customer_1035"/>
        <s v="Customer_1036"/>
        <s v="Customer_1037"/>
        <s v="Customer_1038"/>
        <s v="Customer_1039"/>
        <s v="Customer_1040"/>
        <s v="Customer_1041"/>
        <s v="Customer_1042"/>
        <s v="Customer_1043"/>
        <s v="Customer_1044"/>
        <s v="Customer_1045"/>
        <s v="Customer_1046"/>
        <s v="Customer_1047"/>
        <s v="Customer_1048"/>
        <s v="Customer_1049"/>
        <s v="Customer_1050"/>
        <s v="Customer_1051"/>
        <s v="Customer_1052"/>
        <s v="Customer_1053"/>
        <s v="Customer_1054"/>
        <s v="Customer_1055"/>
        <s v="Customer_1056"/>
        <s v="Customer_1057"/>
        <s v="Customer_1058"/>
        <s v="Customer_1059"/>
        <s v="Customer_1060"/>
        <s v="Customer_1061"/>
        <s v="Customer_1062"/>
        <s v="Customer_1063"/>
        <s v="Customer_1064"/>
        <s v="Customer_1065"/>
        <s v="Customer_1066"/>
        <s v="Customer_1067"/>
        <s v="Customer_1068"/>
        <s v="Customer_1069"/>
        <s v="Customer_1070"/>
        <s v="Customer_1071"/>
        <s v="Customer_1072"/>
        <s v="Customer_1073"/>
        <s v="Customer_1074"/>
        <s v="Customer_1075"/>
        <s v="Customer_1076"/>
        <s v="Customer_1077"/>
        <s v="Customer_1078"/>
        <s v="Customer_1079"/>
        <s v="Customer_1080"/>
        <s v="Customer_1081"/>
        <s v="Customer_1082"/>
        <s v="Customer_1083"/>
        <s v="Customer_1084"/>
        <s v="Customer_1085"/>
        <s v="Customer_1086"/>
        <s v="Customer_1087"/>
        <s v="Customer_1088"/>
        <s v="Customer_1089"/>
        <s v="Customer_1090"/>
        <s v="Customer_1091"/>
        <s v="Customer_1092"/>
        <s v="Customer_1093"/>
        <s v="Customer_1094"/>
        <s v="Customer_1095"/>
        <s v="Customer_1096"/>
        <s v="Customer_1097"/>
        <s v="Customer_1098"/>
        <s v="Customer_1099"/>
        <s v="Customer_1100"/>
      </sharedItems>
    </cacheField>
    <cacheField name="Location" numFmtId="0">
      <sharedItems count="4">
        <s v="Rajkot"/>
        <s v="Baroda"/>
        <s v="Ahmedabad"/>
        <s v="Surat"/>
      </sharedItems>
    </cacheField>
    <cacheField name="Order_Date" numFmtId="164">
      <sharedItems containsSemiMixedTypes="0" containsNonDate="0" containsDate="1" containsString="0" minDate="2025-06-01T00:00:00" maxDate="2025-06-12T00:00:00" count="11">
        <d v="2025-06-02T00:00:00"/>
        <d v="2025-06-07T00:00:00"/>
        <d v="2025-06-01T00:00:00"/>
        <d v="2025-06-10T00:00:00"/>
        <d v="2025-06-04T00:00:00"/>
        <d v="2025-06-09T00:00:00"/>
        <d v="2025-06-08T00:00:00"/>
        <d v="2025-06-11T00:00:00"/>
        <d v="2025-06-03T00:00:00"/>
        <d v="2025-06-05T00:00:00"/>
        <d v="2025-06-06T00:00:00"/>
      </sharedItems>
    </cacheField>
    <cacheField name="Restaurant" numFmtId="0">
      <sharedItems count="8">
        <s v="Pizza Hut"/>
        <s v="Hocco Eatery"/>
        <s v="Burger King"/>
        <s v="Biryani House"/>
        <s v="McDonald's"/>
        <s v="KFC"/>
        <s v="Domino's Pizza"/>
        <s v="Subway"/>
      </sharedItems>
    </cacheField>
    <cacheField name="Food_Item" numFmtId="0">
      <sharedItems count="8">
        <s v="Cheese Burst Pizza"/>
        <s v="Pav Bhaji"/>
        <s v="Chicken Whopper"/>
        <s v="Chicken Biryani"/>
        <s v="McAloo Tikki"/>
        <s v="Chicken Bucket"/>
        <s v="Veg Pizza"/>
        <s v="Paneer Sub"/>
      </sharedItems>
    </cacheField>
    <cacheField name="Quantity" numFmtId="0">
      <sharedItems containsSemiMixedTypes="0" containsString="0" containsNumber="1" containsInteger="1" minValue="1" maxValue="3"/>
    </cacheField>
    <cacheField name="Price_per_Item" numFmtId="0">
      <sharedItems containsSemiMixedTypes="0" containsString="0" containsNumber="1" containsInteger="1" minValue="135" maxValue="495"/>
    </cacheField>
    <cacheField name="Delivery_Status" numFmtId="0">
      <sharedItems count="2">
        <s v="Delivered"/>
        <s v="Cancelled"/>
      </sharedItems>
    </cacheField>
    <cacheField name="Delivery_Partner" numFmtId="0">
      <sharedItems count="7">
        <s v="Swiggy Partner 4"/>
        <s v="Zomato Rider 2"/>
        <s v="Swiggy Partner 1"/>
        <s v="Swiggy Partner 2"/>
        <s v="Swiggy Partner 3"/>
        <s v="Zomato Rider 1"/>
        <s v="Zomato Rider 3"/>
      </sharedItems>
    </cacheField>
    <cacheField name="Rating" numFmtId="0">
      <sharedItems containsMixedTypes="1" containsNumber="1" containsInteger="1" minValue="3" maxValue="5" count="4">
        <n v="3"/>
        <s v="-"/>
        <n v="4"/>
        <n v="5"/>
      </sharedItems>
    </cacheField>
    <cacheField name="Payment_Method" numFmtId="0">
      <sharedItems count="2">
        <s v="Cash"/>
        <s v="Online"/>
      </sharedItems>
    </cacheField>
  </cacheFields>
  <extLst>
    <ext xmlns:x14="http://schemas.microsoft.com/office/spreadsheetml/2009/9/main" uri="{725AE2AE-9491-48be-B2B4-4EB974FC3084}">
      <x14:pivotCacheDefinition pivotCacheId="53984920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ay Gupta" refreshedDate="45841.961753356481" createdVersion="8" refreshedVersion="8" minRefreshableVersion="3" recordCount="100" xr:uid="{37ECD9D4-BDF8-4C3D-97D4-6834F2F02F4F}">
  <cacheSource type="worksheet">
    <worksheetSource ref="A1:L101" sheet="Data"/>
  </cacheSource>
  <cacheFields count="13">
    <cacheField name="Order_ID" numFmtId="0">
      <sharedItems containsSemiMixedTypes="0" containsString="0" containsNumber="1" containsInteger="1" minValue="1001" maxValue="1100"/>
    </cacheField>
    <cacheField name="Customer_Name" numFmtId="0">
      <sharedItems count="100">
        <s v="Customer_1001"/>
        <s v="Customer_1002"/>
        <s v="Customer_1003"/>
        <s v="Customer_1004"/>
        <s v="Customer_1005"/>
        <s v="Customer_1006"/>
        <s v="Customer_1007"/>
        <s v="Customer_1008"/>
        <s v="Customer_1009"/>
        <s v="Customer_1010"/>
        <s v="Customer_1011"/>
        <s v="Customer_1012"/>
        <s v="Customer_1013"/>
        <s v="Customer_1014"/>
        <s v="Customer_1015"/>
        <s v="Customer_1016"/>
        <s v="Customer_1017"/>
        <s v="Customer_1018"/>
        <s v="Customer_1019"/>
        <s v="Customer_1020"/>
        <s v="Customer_1021"/>
        <s v="Customer_1022"/>
        <s v="Customer_1023"/>
        <s v="Customer_1024"/>
        <s v="Customer_1025"/>
        <s v="Customer_1026"/>
        <s v="Customer_1027"/>
        <s v="Customer_1028"/>
        <s v="Customer_1029"/>
        <s v="Customer_1030"/>
        <s v="Customer_1031"/>
        <s v="Customer_1032"/>
        <s v="Customer_1033"/>
        <s v="Customer_1034"/>
        <s v="Customer_1035"/>
        <s v="Customer_1036"/>
        <s v="Customer_1037"/>
        <s v="Customer_1038"/>
        <s v="Customer_1039"/>
        <s v="Customer_1040"/>
        <s v="Customer_1041"/>
        <s v="Customer_1042"/>
        <s v="Customer_1043"/>
        <s v="Customer_1044"/>
        <s v="Customer_1045"/>
        <s v="Customer_1046"/>
        <s v="Customer_1047"/>
        <s v="Customer_1048"/>
        <s v="Customer_1049"/>
        <s v="Customer_1050"/>
        <s v="Customer_1051"/>
        <s v="Customer_1052"/>
        <s v="Customer_1053"/>
        <s v="Customer_1054"/>
        <s v="Customer_1055"/>
        <s v="Customer_1056"/>
        <s v="Customer_1057"/>
        <s v="Customer_1058"/>
        <s v="Customer_1059"/>
        <s v="Customer_1060"/>
        <s v="Customer_1061"/>
        <s v="Customer_1062"/>
        <s v="Customer_1063"/>
        <s v="Customer_1064"/>
        <s v="Customer_1065"/>
        <s v="Customer_1066"/>
        <s v="Customer_1067"/>
        <s v="Customer_1068"/>
        <s v="Customer_1069"/>
        <s v="Customer_1070"/>
        <s v="Customer_1071"/>
        <s v="Customer_1072"/>
        <s v="Customer_1073"/>
        <s v="Customer_1074"/>
        <s v="Customer_1075"/>
        <s v="Customer_1076"/>
        <s v="Customer_1077"/>
        <s v="Customer_1078"/>
        <s v="Customer_1079"/>
        <s v="Customer_1080"/>
        <s v="Customer_1081"/>
        <s v="Customer_1082"/>
        <s v="Customer_1083"/>
        <s v="Customer_1084"/>
        <s v="Customer_1085"/>
        <s v="Customer_1086"/>
        <s v="Customer_1087"/>
        <s v="Customer_1088"/>
        <s v="Customer_1089"/>
        <s v="Customer_1090"/>
        <s v="Customer_1091"/>
        <s v="Customer_1092"/>
        <s v="Customer_1093"/>
        <s v="Customer_1094"/>
        <s v="Customer_1095"/>
        <s v="Customer_1096"/>
        <s v="Customer_1097"/>
        <s v="Customer_1098"/>
        <s v="Customer_1099"/>
        <s v="Customer_1100"/>
      </sharedItems>
    </cacheField>
    <cacheField name="Location" numFmtId="0">
      <sharedItems/>
    </cacheField>
    <cacheField name="Order_Date" numFmtId="164">
      <sharedItems containsSemiMixedTypes="0" containsNonDate="0" containsDate="1" containsString="0" minDate="2025-06-01T00:00:00" maxDate="2025-06-12T00:00:00"/>
    </cacheField>
    <cacheField name="Restaurant" numFmtId="0">
      <sharedItems/>
    </cacheField>
    <cacheField name="Food_Item" numFmtId="0">
      <sharedItems/>
    </cacheField>
    <cacheField name="Quantity" numFmtId="0">
      <sharedItems containsSemiMixedTypes="0" containsString="0" containsNumber="1" containsInteger="1" minValue="1" maxValue="3"/>
    </cacheField>
    <cacheField name="Price_per_Item" numFmtId="0">
      <sharedItems containsSemiMixedTypes="0" containsString="0" containsNumber="1" containsInteger="1" minValue="135" maxValue="495"/>
    </cacheField>
    <cacheField name="Delivery_Status" numFmtId="0">
      <sharedItems/>
    </cacheField>
    <cacheField name="Delivery_Partner" numFmtId="0">
      <sharedItems/>
    </cacheField>
    <cacheField name="Rating" numFmtId="0">
      <sharedItems containsMixedTypes="1" containsNumber="1" containsInteger="1" minValue="3" maxValue="5"/>
    </cacheField>
    <cacheField name="Payment_Method" numFmtId="0">
      <sharedItems/>
    </cacheField>
    <cacheField name="Total_spent" numFmtId="0">
      <sharedItems containsSemiMixedTypes="0" containsString="0" containsNumber="1" containsInteger="1" minValue="135" maxValue="1473"/>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ay Gupta" refreshedDate="45842.382409375001" createdVersion="8" refreshedVersion="8" minRefreshableVersion="3" recordCount="100" xr:uid="{4A27A7D3-278A-4932-BCCF-B12D26A87C46}">
  <cacheSource type="worksheet">
    <worksheetSource ref="A1:M101" sheet="Data"/>
  </cacheSource>
  <cacheFields count="13">
    <cacheField name="Order_ID" numFmtId="0">
      <sharedItems containsSemiMixedTypes="0" containsString="0" containsNumber="1" containsInteger="1" minValue="1001" maxValue="1100"/>
    </cacheField>
    <cacheField name="Customer_Name" numFmtId="0">
      <sharedItems/>
    </cacheField>
    <cacheField name="Location" numFmtId="0">
      <sharedItems/>
    </cacheField>
    <cacheField name="Order_Date" numFmtId="164">
      <sharedItems containsSemiMixedTypes="0" containsNonDate="0" containsDate="1" containsString="0" minDate="2025-06-01T00:00:00" maxDate="2025-06-12T00:00:00"/>
    </cacheField>
    <cacheField name="Restaurant" numFmtId="0">
      <sharedItems/>
    </cacheField>
    <cacheField name="Food_Item" numFmtId="0">
      <sharedItems/>
    </cacheField>
    <cacheField name="Quantity" numFmtId="0">
      <sharedItems containsSemiMixedTypes="0" containsString="0" containsNumber="1" containsInteger="1" minValue="1" maxValue="3"/>
    </cacheField>
    <cacheField name="Price_per_Item" numFmtId="0">
      <sharedItems containsSemiMixedTypes="0" containsString="0" containsNumber="1" containsInteger="1" minValue="135" maxValue="495"/>
    </cacheField>
    <cacheField name="Delivery_Status" numFmtId="0">
      <sharedItems/>
    </cacheField>
    <cacheField name="Rating" numFmtId="0">
      <sharedItems containsMixedTypes="1" containsNumber="1" containsInteger="1" minValue="3" maxValue="5"/>
    </cacheField>
    <cacheField name="Payment_Method" numFmtId="0">
      <sharedItems/>
    </cacheField>
    <cacheField name="Total_spent" numFmtId="0">
      <sharedItems containsSemiMixedTypes="0" containsString="0" containsNumber="1" containsInteger="1" minValue="135" maxValue="1473"/>
    </cacheField>
    <cacheField name="Delivery_Partner" numFmtId="0">
      <sharedItems count="2">
        <s v="Swiggy"/>
        <s v="Zomato"/>
      </sharedItems>
    </cacheField>
  </cacheFields>
  <extLst>
    <ext xmlns:x14="http://schemas.microsoft.com/office/spreadsheetml/2009/9/main" uri="{725AE2AE-9491-48be-B2B4-4EB974FC3084}">
      <x14:pivotCacheDefinition pivotCacheId="18655407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001"/>
    <x v="0"/>
    <x v="0"/>
    <x v="0"/>
    <x v="0"/>
    <x v="0"/>
    <n v="3"/>
    <n v="357"/>
    <x v="0"/>
    <x v="0"/>
    <x v="0"/>
    <x v="0"/>
  </r>
  <r>
    <n v="1002"/>
    <x v="1"/>
    <x v="1"/>
    <x v="1"/>
    <x v="1"/>
    <x v="1"/>
    <n v="1"/>
    <n v="411"/>
    <x v="1"/>
    <x v="1"/>
    <x v="1"/>
    <x v="0"/>
  </r>
  <r>
    <n v="1003"/>
    <x v="2"/>
    <x v="2"/>
    <x v="1"/>
    <x v="2"/>
    <x v="2"/>
    <n v="2"/>
    <n v="400"/>
    <x v="0"/>
    <x v="2"/>
    <x v="2"/>
    <x v="0"/>
  </r>
  <r>
    <n v="1004"/>
    <x v="3"/>
    <x v="1"/>
    <x v="2"/>
    <x v="3"/>
    <x v="3"/>
    <n v="2"/>
    <n v="215"/>
    <x v="0"/>
    <x v="3"/>
    <x v="2"/>
    <x v="0"/>
  </r>
  <r>
    <n v="1005"/>
    <x v="4"/>
    <x v="3"/>
    <x v="3"/>
    <x v="0"/>
    <x v="0"/>
    <n v="1"/>
    <n v="495"/>
    <x v="0"/>
    <x v="2"/>
    <x v="0"/>
    <x v="1"/>
  </r>
  <r>
    <n v="1006"/>
    <x v="5"/>
    <x v="3"/>
    <x v="3"/>
    <x v="1"/>
    <x v="1"/>
    <n v="2"/>
    <n v="364"/>
    <x v="0"/>
    <x v="2"/>
    <x v="2"/>
    <x v="0"/>
  </r>
  <r>
    <n v="1007"/>
    <x v="6"/>
    <x v="3"/>
    <x v="4"/>
    <x v="4"/>
    <x v="4"/>
    <n v="3"/>
    <n v="252"/>
    <x v="0"/>
    <x v="1"/>
    <x v="0"/>
    <x v="1"/>
  </r>
  <r>
    <n v="1008"/>
    <x v="7"/>
    <x v="0"/>
    <x v="3"/>
    <x v="1"/>
    <x v="1"/>
    <n v="3"/>
    <n v="221"/>
    <x v="1"/>
    <x v="4"/>
    <x v="1"/>
    <x v="1"/>
  </r>
  <r>
    <n v="1009"/>
    <x v="8"/>
    <x v="3"/>
    <x v="4"/>
    <x v="0"/>
    <x v="0"/>
    <n v="1"/>
    <n v="253"/>
    <x v="0"/>
    <x v="1"/>
    <x v="2"/>
    <x v="1"/>
  </r>
  <r>
    <n v="1010"/>
    <x v="9"/>
    <x v="0"/>
    <x v="5"/>
    <x v="4"/>
    <x v="4"/>
    <n v="3"/>
    <n v="315"/>
    <x v="0"/>
    <x v="0"/>
    <x v="2"/>
    <x v="1"/>
  </r>
  <r>
    <n v="1011"/>
    <x v="10"/>
    <x v="0"/>
    <x v="6"/>
    <x v="5"/>
    <x v="5"/>
    <n v="2"/>
    <n v="198"/>
    <x v="0"/>
    <x v="4"/>
    <x v="3"/>
    <x v="0"/>
  </r>
  <r>
    <n v="1012"/>
    <x v="11"/>
    <x v="0"/>
    <x v="1"/>
    <x v="3"/>
    <x v="3"/>
    <n v="3"/>
    <n v="184"/>
    <x v="0"/>
    <x v="5"/>
    <x v="2"/>
    <x v="1"/>
  </r>
  <r>
    <n v="1013"/>
    <x v="12"/>
    <x v="1"/>
    <x v="0"/>
    <x v="4"/>
    <x v="4"/>
    <n v="2"/>
    <n v="354"/>
    <x v="0"/>
    <x v="5"/>
    <x v="0"/>
    <x v="1"/>
  </r>
  <r>
    <n v="1014"/>
    <x v="13"/>
    <x v="2"/>
    <x v="6"/>
    <x v="6"/>
    <x v="6"/>
    <n v="2"/>
    <n v="281"/>
    <x v="0"/>
    <x v="0"/>
    <x v="3"/>
    <x v="1"/>
  </r>
  <r>
    <n v="1015"/>
    <x v="14"/>
    <x v="1"/>
    <x v="6"/>
    <x v="0"/>
    <x v="0"/>
    <n v="3"/>
    <n v="138"/>
    <x v="0"/>
    <x v="5"/>
    <x v="0"/>
    <x v="0"/>
  </r>
  <r>
    <n v="1016"/>
    <x v="15"/>
    <x v="2"/>
    <x v="2"/>
    <x v="5"/>
    <x v="5"/>
    <n v="2"/>
    <n v="203"/>
    <x v="0"/>
    <x v="0"/>
    <x v="0"/>
    <x v="1"/>
  </r>
  <r>
    <n v="1017"/>
    <x v="16"/>
    <x v="2"/>
    <x v="1"/>
    <x v="4"/>
    <x v="4"/>
    <n v="3"/>
    <n v="202"/>
    <x v="0"/>
    <x v="3"/>
    <x v="3"/>
    <x v="0"/>
  </r>
  <r>
    <n v="1018"/>
    <x v="17"/>
    <x v="3"/>
    <x v="7"/>
    <x v="1"/>
    <x v="1"/>
    <n v="1"/>
    <n v="302"/>
    <x v="0"/>
    <x v="0"/>
    <x v="0"/>
    <x v="0"/>
  </r>
  <r>
    <n v="1019"/>
    <x v="18"/>
    <x v="0"/>
    <x v="0"/>
    <x v="3"/>
    <x v="3"/>
    <n v="3"/>
    <n v="407"/>
    <x v="0"/>
    <x v="3"/>
    <x v="0"/>
    <x v="1"/>
  </r>
  <r>
    <n v="1020"/>
    <x v="19"/>
    <x v="2"/>
    <x v="7"/>
    <x v="4"/>
    <x v="4"/>
    <n v="1"/>
    <n v="347"/>
    <x v="0"/>
    <x v="3"/>
    <x v="3"/>
    <x v="1"/>
  </r>
  <r>
    <n v="1021"/>
    <x v="20"/>
    <x v="2"/>
    <x v="5"/>
    <x v="1"/>
    <x v="1"/>
    <n v="3"/>
    <n v="450"/>
    <x v="0"/>
    <x v="6"/>
    <x v="3"/>
    <x v="0"/>
  </r>
  <r>
    <n v="1022"/>
    <x v="21"/>
    <x v="2"/>
    <x v="0"/>
    <x v="5"/>
    <x v="5"/>
    <n v="1"/>
    <n v="180"/>
    <x v="0"/>
    <x v="3"/>
    <x v="0"/>
    <x v="1"/>
  </r>
  <r>
    <n v="1023"/>
    <x v="22"/>
    <x v="0"/>
    <x v="7"/>
    <x v="4"/>
    <x v="4"/>
    <n v="2"/>
    <n v="484"/>
    <x v="0"/>
    <x v="0"/>
    <x v="2"/>
    <x v="0"/>
  </r>
  <r>
    <n v="1024"/>
    <x v="23"/>
    <x v="0"/>
    <x v="6"/>
    <x v="4"/>
    <x v="4"/>
    <n v="1"/>
    <n v="329"/>
    <x v="0"/>
    <x v="0"/>
    <x v="2"/>
    <x v="0"/>
  </r>
  <r>
    <n v="1025"/>
    <x v="24"/>
    <x v="1"/>
    <x v="8"/>
    <x v="1"/>
    <x v="1"/>
    <n v="1"/>
    <n v="239"/>
    <x v="0"/>
    <x v="2"/>
    <x v="2"/>
    <x v="1"/>
  </r>
  <r>
    <n v="1026"/>
    <x v="25"/>
    <x v="2"/>
    <x v="0"/>
    <x v="1"/>
    <x v="1"/>
    <n v="3"/>
    <n v="338"/>
    <x v="1"/>
    <x v="6"/>
    <x v="1"/>
    <x v="1"/>
  </r>
  <r>
    <n v="1027"/>
    <x v="26"/>
    <x v="1"/>
    <x v="7"/>
    <x v="6"/>
    <x v="6"/>
    <n v="1"/>
    <n v="258"/>
    <x v="0"/>
    <x v="4"/>
    <x v="3"/>
    <x v="0"/>
  </r>
  <r>
    <n v="1028"/>
    <x v="27"/>
    <x v="3"/>
    <x v="0"/>
    <x v="5"/>
    <x v="5"/>
    <n v="2"/>
    <n v="208"/>
    <x v="0"/>
    <x v="6"/>
    <x v="0"/>
    <x v="1"/>
  </r>
  <r>
    <n v="1029"/>
    <x v="28"/>
    <x v="3"/>
    <x v="4"/>
    <x v="4"/>
    <x v="4"/>
    <n v="2"/>
    <n v="208"/>
    <x v="0"/>
    <x v="2"/>
    <x v="2"/>
    <x v="1"/>
  </r>
  <r>
    <n v="1030"/>
    <x v="29"/>
    <x v="0"/>
    <x v="7"/>
    <x v="1"/>
    <x v="1"/>
    <n v="1"/>
    <n v="339"/>
    <x v="0"/>
    <x v="4"/>
    <x v="3"/>
    <x v="0"/>
  </r>
  <r>
    <n v="1031"/>
    <x v="30"/>
    <x v="2"/>
    <x v="6"/>
    <x v="4"/>
    <x v="4"/>
    <n v="1"/>
    <n v="452"/>
    <x v="0"/>
    <x v="6"/>
    <x v="3"/>
    <x v="0"/>
  </r>
  <r>
    <n v="1032"/>
    <x v="31"/>
    <x v="1"/>
    <x v="6"/>
    <x v="2"/>
    <x v="2"/>
    <n v="3"/>
    <n v="455"/>
    <x v="0"/>
    <x v="5"/>
    <x v="0"/>
    <x v="0"/>
  </r>
  <r>
    <n v="1033"/>
    <x v="32"/>
    <x v="1"/>
    <x v="7"/>
    <x v="0"/>
    <x v="0"/>
    <n v="3"/>
    <n v="334"/>
    <x v="0"/>
    <x v="6"/>
    <x v="0"/>
    <x v="0"/>
  </r>
  <r>
    <n v="1034"/>
    <x v="33"/>
    <x v="1"/>
    <x v="1"/>
    <x v="3"/>
    <x v="3"/>
    <n v="1"/>
    <n v="168"/>
    <x v="0"/>
    <x v="1"/>
    <x v="2"/>
    <x v="0"/>
  </r>
  <r>
    <n v="1035"/>
    <x v="34"/>
    <x v="1"/>
    <x v="6"/>
    <x v="3"/>
    <x v="3"/>
    <n v="3"/>
    <n v="374"/>
    <x v="0"/>
    <x v="5"/>
    <x v="0"/>
    <x v="0"/>
  </r>
  <r>
    <n v="1036"/>
    <x v="35"/>
    <x v="2"/>
    <x v="0"/>
    <x v="0"/>
    <x v="0"/>
    <n v="1"/>
    <n v="234"/>
    <x v="0"/>
    <x v="6"/>
    <x v="0"/>
    <x v="1"/>
  </r>
  <r>
    <n v="1037"/>
    <x v="36"/>
    <x v="3"/>
    <x v="2"/>
    <x v="1"/>
    <x v="1"/>
    <n v="3"/>
    <n v="180"/>
    <x v="0"/>
    <x v="2"/>
    <x v="2"/>
    <x v="1"/>
  </r>
  <r>
    <n v="1038"/>
    <x v="37"/>
    <x v="1"/>
    <x v="6"/>
    <x v="2"/>
    <x v="2"/>
    <n v="2"/>
    <n v="492"/>
    <x v="0"/>
    <x v="2"/>
    <x v="2"/>
    <x v="0"/>
  </r>
  <r>
    <n v="1039"/>
    <x v="38"/>
    <x v="0"/>
    <x v="2"/>
    <x v="2"/>
    <x v="2"/>
    <n v="2"/>
    <n v="429"/>
    <x v="0"/>
    <x v="3"/>
    <x v="3"/>
    <x v="0"/>
  </r>
  <r>
    <n v="1040"/>
    <x v="39"/>
    <x v="1"/>
    <x v="2"/>
    <x v="3"/>
    <x v="3"/>
    <n v="3"/>
    <n v="368"/>
    <x v="0"/>
    <x v="2"/>
    <x v="0"/>
    <x v="0"/>
  </r>
  <r>
    <n v="1041"/>
    <x v="40"/>
    <x v="2"/>
    <x v="9"/>
    <x v="2"/>
    <x v="2"/>
    <n v="3"/>
    <n v="474"/>
    <x v="0"/>
    <x v="3"/>
    <x v="0"/>
    <x v="1"/>
  </r>
  <r>
    <n v="1042"/>
    <x v="41"/>
    <x v="1"/>
    <x v="9"/>
    <x v="2"/>
    <x v="2"/>
    <n v="3"/>
    <n v="178"/>
    <x v="0"/>
    <x v="4"/>
    <x v="2"/>
    <x v="0"/>
  </r>
  <r>
    <n v="1043"/>
    <x v="42"/>
    <x v="2"/>
    <x v="8"/>
    <x v="0"/>
    <x v="0"/>
    <n v="3"/>
    <n v="218"/>
    <x v="0"/>
    <x v="6"/>
    <x v="2"/>
    <x v="0"/>
  </r>
  <r>
    <n v="1044"/>
    <x v="43"/>
    <x v="0"/>
    <x v="10"/>
    <x v="4"/>
    <x v="4"/>
    <n v="1"/>
    <n v="370"/>
    <x v="0"/>
    <x v="5"/>
    <x v="2"/>
    <x v="1"/>
  </r>
  <r>
    <n v="1045"/>
    <x v="44"/>
    <x v="3"/>
    <x v="2"/>
    <x v="1"/>
    <x v="1"/>
    <n v="3"/>
    <n v="209"/>
    <x v="0"/>
    <x v="5"/>
    <x v="2"/>
    <x v="1"/>
  </r>
  <r>
    <n v="1046"/>
    <x v="45"/>
    <x v="1"/>
    <x v="2"/>
    <x v="2"/>
    <x v="2"/>
    <n v="1"/>
    <n v="381"/>
    <x v="0"/>
    <x v="1"/>
    <x v="3"/>
    <x v="0"/>
  </r>
  <r>
    <n v="1047"/>
    <x v="46"/>
    <x v="3"/>
    <x v="2"/>
    <x v="7"/>
    <x v="7"/>
    <n v="1"/>
    <n v="354"/>
    <x v="0"/>
    <x v="4"/>
    <x v="0"/>
    <x v="1"/>
  </r>
  <r>
    <n v="1048"/>
    <x v="47"/>
    <x v="1"/>
    <x v="6"/>
    <x v="4"/>
    <x v="4"/>
    <n v="2"/>
    <n v="472"/>
    <x v="0"/>
    <x v="1"/>
    <x v="3"/>
    <x v="1"/>
  </r>
  <r>
    <n v="1049"/>
    <x v="48"/>
    <x v="0"/>
    <x v="6"/>
    <x v="1"/>
    <x v="1"/>
    <n v="1"/>
    <n v="309"/>
    <x v="0"/>
    <x v="2"/>
    <x v="0"/>
    <x v="1"/>
  </r>
  <r>
    <n v="1050"/>
    <x v="49"/>
    <x v="3"/>
    <x v="9"/>
    <x v="6"/>
    <x v="6"/>
    <n v="2"/>
    <n v="289"/>
    <x v="0"/>
    <x v="2"/>
    <x v="3"/>
    <x v="0"/>
  </r>
  <r>
    <n v="1051"/>
    <x v="50"/>
    <x v="2"/>
    <x v="5"/>
    <x v="0"/>
    <x v="0"/>
    <n v="1"/>
    <n v="383"/>
    <x v="0"/>
    <x v="3"/>
    <x v="0"/>
    <x v="1"/>
  </r>
  <r>
    <n v="1052"/>
    <x v="51"/>
    <x v="0"/>
    <x v="0"/>
    <x v="3"/>
    <x v="3"/>
    <n v="3"/>
    <n v="185"/>
    <x v="0"/>
    <x v="5"/>
    <x v="2"/>
    <x v="0"/>
  </r>
  <r>
    <n v="1053"/>
    <x v="52"/>
    <x v="0"/>
    <x v="8"/>
    <x v="5"/>
    <x v="5"/>
    <n v="3"/>
    <n v="357"/>
    <x v="0"/>
    <x v="5"/>
    <x v="2"/>
    <x v="1"/>
  </r>
  <r>
    <n v="1054"/>
    <x v="53"/>
    <x v="1"/>
    <x v="9"/>
    <x v="3"/>
    <x v="3"/>
    <n v="1"/>
    <n v="395"/>
    <x v="0"/>
    <x v="3"/>
    <x v="2"/>
    <x v="1"/>
  </r>
  <r>
    <n v="1055"/>
    <x v="54"/>
    <x v="3"/>
    <x v="9"/>
    <x v="1"/>
    <x v="1"/>
    <n v="3"/>
    <n v="461"/>
    <x v="0"/>
    <x v="0"/>
    <x v="3"/>
    <x v="1"/>
  </r>
  <r>
    <n v="1056"/>
    <x v="55"/>
    <x v="1"/>
    <x v="5"/>
    <x v="6"/>
    <x v="6"/>
    <n v="2"/>
    <n v="415"/>
    <x v="0"/>
    <x v="6"/>
    <x v="3"/>
    <x v="1"/>
  </r>
  <r>
    <n v="1057"/>
    <x v="56"/>
    <x v="3"/>
    <x v="6"/>
    <x v="6"/>
    <x v="6"/>
    <n v="2"/>
    <n v="479"/>
    <x v="1"/>
    <x v="4"/>
    <x v="1"/>
    <x v="1"/>
  </r>
  <r>
    <n v="1058"/>
    <x v="57"/>
    <x v="2"/>
    <x v="7"/>
    <x v="5"/>
    <x v="5"/>
    <n v="1"/>
    <n v="254"/>
    <x v="0"/>
    <x v="2"/>
    <x v="3"/>
    <x v="1"/>
  </r>
  <r>
    <n v="1059"/>
    <x v="58"/>
    <x v="0"/>
    <x v="5"/>
    <x v="5"/>
    <x v="5"/>
    <n v="2"/>
    <n v="491"/>
    <x v="1"/>
    <x v="6"/>
    <x v="1"/>
    <x v="1"/>
  </r>
  <r>
    <n v="1060"/>
    <x v="59"/>
    <x v="3"/>
    <x v="1"/>
    <x v="2"/>
    <x v="2"/>
    <n v="2"/>
    <n v="348"/>
    <x v="1"/>
    <x v="4"/>
    <x v="1"/>
    <x v="1"/>
  </r>
  <r>
    <n v="1061"/>
    <x v="60"/>
    <x v="3"/>
    <x v="6"/>
    <x v="5"/>
    <x v="5"/>
    <n v="1"/>
    <n v="461"/>
    <x v="0"/>
    <x v="1"/>
    <x v="3"/>
    <x v="0"/>
  </r>
  <r>
    <n v="1062"/>
    <x v="61"/>
    <x v="0"/>
    <x v="10"/>
    <x v="3"/>
    <x v="3"/>
    <n v="3"/>
    <n v="324"/>
    <x v="0"/>
    <x v="5"/>
    <x v="3"/>
    <x v="0"/>
  </r>
  <r>
    <n v="1063"/>
    <x v="62"/>
    <x v="1"/>
    <x v="8"/>
    <x v="7"/>
    <x v="7"/>
    <n v="1"/>
    <n v="241"/>
    <x v="0"/>
    <x v="0"/>
    <x v="0"/>
    <x v="1"/>
  </r>
  <r>
    <n v="1064"/>
    <x v="63"/>
    <x v="3"/>
    <x v="10"/>
    <x v="5"/>
    <x v="5"/>
    <n v="1"/>
    <n v="456"/>
    <x v="0"/>
    <x v="6"/>
    <x v="0"/>
    <x v="1"/>
  </r>
  <r>
    <n v="1065"/>
    <x v="64"/>
    <x v="1"/>
    <x v="6"/>
    <x v="3"/>
    <x v="3"/>
    <n v="3"/>
    <n v="457"/>
    <x v="0"/>
    <x v="3"/>
    <x v="0"/>
    <x v="0"/>
  </r>
  <r>
    <n v="1066"/>
    <x v="65"/>
    <x v="1"/>
    <x v="1"/>
    <x v="3"/>
    <x v="3"/>
    <n v="2"/>
    <n v="477"/>
    <x v="0"/>
    <x v="2"/>
    <x v="0"/>
    <x v="1"/>
  </r>
  <r>
    <n v="1067"/>
    <x v="66"/>
    <x v="0"/>
    <x v="0"/>
    <x v="0"/>
    <x v="0"/>
    <n v="3"/>
    <n v="483"/>
    <x v="0"/>
    <x v="0"/>
    <x v="3"/>
    <x v="1"/>
  </r>
  <r>
    <n v="1068"/>
    <x v="67"/>
    <x v="0"/>
    <x v="10"/>
    <x v="6"/>
    <x v="6"/>
    <n v="2"/>
    <n v="257"/>
    <x v="0"/>
    <x v="2"/>
    <x v="2"/>
    <x v="1"/>
  </r>
  <r>
    <n v="1069"/>
    <x v="68"/>
    <x v="1"/>
    <x v="5"/>
    <x v="1"/>
    <x v="1"/>
    <n v="1"/>
    <n v="164"/>
    <x v="0"/>
    <x v="0"/>
    <x v="0"/>
    <x v="0"/>
  </r>
  <r>
    <n v="1070"/>
    <x v="69"/>
    <x v="2"/>
    <x v="4"/>
    <x v="3"/>
    <x v="3"/>
    <n v="2"/>
    <n v="233"/>
    <x v="0"/>
    <x v="4"/>
    <x v="3"/>
    <x v="0"/>
  </r>
  <r>
    <n v="1071"/>
    <x v="70"/>
    <x v="2"/>
    <x v="8"/>
    <x v="7"/>
    <x v="7"/>
    <n v="3"/>
    <n v="457"/>
    <x v="0"/>
    <x v="5"/>
    <x v="2"/>
    <x v="0"/>
  </r>
  <r>
    <n v="1072"/>
    <x v="71"/>
    <x v="1"/>
    <x v="2"/>
    <x v="0"/>
    <x v="0"/>
    <n v="1"/>
    <n v="458"/>
    <x v="0"/>
    <x v="2"/>
    <x v="2"/>
    <x v="1"/>
  </r>
  <r>
    <n v="1073"/>
    <x v="72"/>
    <x v="3"/>
    <x v="2"/>
    <x v="6"/>
    <x v="6"/>
    <n v="1"/>
    <n v="326"/>
    <x v="0"/>
    <x v="0"/>
    <x v="0"/>
    <x v="0"/>
  </r>
  <r>
    <n v="1074"/>
    <x v="73"/>
    <x v="0"/>
    <x v="0"/>
    <x v="1"/>
    <x v="1"/>
    <n v="3"/>
    <n v="135"/>
    <x v="1"/>
    <x v="2"/>
    <x v="1"/>
    <x v="0"/>
  </r>
  <r>
    <n v="1075"/>
    <x v="74"/>
    <x v="1"/>
    <x v="2"/>
    <x v="7"/>
    <x v="7"/>
    <n v="3"/>
    <n v="491"/>
    <x v="0"/>
    <x v="6"/>
    <x v="3"/>
    <x v="0"/>
  </r>
  <r>
    <n v="1076"/>
    <x v="75"/>
    <x v="2"/>
    <x v="0"/>
    <x v="6"/>
    <x v="6"/>
    <n v="2"/>
    <n v="362"/>
    <x v="0"/>
    <x v="3"/>
    <x v="3"/>
    <x v="0"/>
  </r>
  <r>
    <n v="1077"/>
    <x v="76"/>
    <x v="2"/>
    <x v="8"/>
    <x v="5"/>
    <x v="5"/>
    <n v="1"/>
    <n v="461"/>
    <x v="0"/>
    <x v="6"/>
    <x v="0"/>
    <x v="0"/>
  </r>
  <r>
    <n v="1078"/>
    <x v="77"/>
    <x v="0"/>
    <x v="3"/>
    <x v="7"/>
    <x v="7"/>
    <n v="3"/>
    <n v="232"/>
    <x v="0"/>
    <x v="5"/>
    <x v="2"/>
    <x v="1"/>
  </r>
  <r>
    <n v="1079"/>
    <x v="78"/>
    <x v="0"/>
    <x v="8"/>
    <x v="7"/>
    <x v="7"/>
    <n v="1"/>
    <n v="218"/>
    <x v="0"/>
    <x v="0"/>
    <x v="2"/>
    <x v="1"/>
  </r>
  <r>
    <n v="1080"/>
    <x v="79"/>
    <x v="2"/>
    <x v="10"/>
    <x v="0"/>
    <x v="0"/>
    <n v="1"/>
    <n v="441"/>
    <x v="0"/>
    <x v="2"/>
    <x v="0"/>
    <x v="0"/>
  </r>
  <r>
    <n v="1081"/>
    <x v="80"/>
    <x v="1"/>
    <x v="3"/>
    <x v="0"/>
    <x v="0"/>
    <n v="1"/>
    <n v="135"/>
    <x v="1"/>
    <x v="0"/>
    <x v="1"/>
    <x v="1"/>
  </r>
  <r>
    <n v="1082"/>
    <x v="81"/>
    <x v="2"/>
    <x v="1"/>
    <x v="0"/>
    <x v="0"/>
    <n v="2"/>
    <n v="215"/>
    <x v="0"/>
    <x v="3"/>
    <x v="3"/>
    <x v="1"/>
  </r>
  <r>
    <n v="1083"/>
    <x v="82"/>
    <x v="2"/>
    <x v="9"/>
    <x v="2"/>
    <x v="2"/>
    <n v="2"/>
    <n v="368"/>
    <x v="1"/>
    <x v="3"/>
    <x v="1"/>
    <x v="0"/>
  </r>
  <r>
    <n v="1084"/>
    <x v="83"/>
    <x v="0"/>
    <x v="9"/>
    <x v="4"/>
    <x v="4"/>
    <n v="3"/>
    <n v="151"/>
    <x v="0"/>
    <x v="1"/>
    <x v="2"/>
    <x v="1"/>
  </r>
  <r>
    <n v="1085"/>
    <x v="84"/>
    <x v="3"/>
    <x v="8"/>
    <x v="4"/>
    <x v="4"/>
    <n v="1"/>
    <n v="219"/>
    <x v="0"/>
    <x v="0"/>
    <x v="2"/>
    <x v="1"/>
  </r>
  <r>
    <n v="1086"/>
    <x v="85"/>
    <x v="0"/>
    <x v="10"/>
    <x v="7"/>
    <x v="7"/>
    <n v="2"/>
    <n v="261"/>
    <x v="0"/>
    <x v="0"/>
    <x v="0"/>
    <x v="0"/>
  </r>
  <r>
    <n v="1087"/>
    <x v="86"/>
    <x v="1"/>
    <x v="7"/>
    <x v="1"/>
    <x v="1"/>
    <n v="2"/>
    <n v="217"/>
    <x v="0"/>
    <x v="5"/>
    <x v="3"/>
    <x v="1"/>
  </r>
  <r>
    <n v="1088"/>
    <x v="87"/>
    <x v="2"/>
    <x v="0"/>
    <x v="1"/>
    <x v="1"/>
    <n v="2"/>
    <n v="259"/>
    <x v="0"/>
    <x v="2"/>
    <x v="0"/>
    <x v="1"/>
  </r>
  <r>
    <n v="1089"/>
    <x v="88"/>
    <x v="1"/>
    <x v="3"/>
    <x v="3"/>
    <x v="3"/>
    <n v="3"/>
    <n v="246"/>
    <x v="0"/>
    <x v="2"/>
    <x v="2"/>
    <x v="0"/>
  </r>
  <r>
    <n v="1090"/>
    <x v="89"/>
    <x v="2"/>
    <x v="7"/>
    <x v="5"/>
    <x v="5"/>
    <n v="1"/>
    <n v="346"/>
    <x v="0"/>
    <x v="1"/>
    <x v="0"/>
    <x v="0"/>
  </r>
  <r>
    <n v="1091"/>
    <x v="90"/>
    <x v="1"/>
    <x v="8"/>
    <x v="3"/>
    <x v="3"/>
    <n v="1"/>
    <n v="182"/>
    <x v="1"/>
    <x v="3"/>
    <x v="1"/>
    <x v="1"/>
  </r>
  <r>
    <n v="1092"/>
    <x v="91"/>
    <x v="3"/>
    <x v="10"/>
    <x v="6"/>
    <x v="6"/>
    <n v="1"/>
    <n v="373"/>
    <x v="0"/>
    <x v="2"/>
    <x v="3"/>
    <x v="1"/>
  </r>
  <r>
    <n v="1093"/>
    <x v="92"/>
    <x v="0"/>
    <x v="9"/>
    <x v="2"/>
    <x v="2"/>
    <n v="2"/>
    <n v="277"/>
    <x v="0"/>
    <x v="3"/>
    <x v="2"/>
    <x v="0"/>
  </r>
  <r>
    <n v="1094"/>
    <x v="93"/>
    <x v="3"/>
    <x v="5"/>
    <x v="4"/>
    <x v="4"/>
    <n v="1"/>
    <n v="373"/>
    <x v="0"/>
    <x v="3"/>
    <x v="2"/>
    <x v="0"/>
  </r>
  <r>
    <n v="1095"/>
    <x v="94"/>
    <x v="2"/>
    <x v="8"/>
    <x v="4"/>
    <x v="4"/>
    <n v="1"/>
    <n v="374"/>
    <x v="0"/>
    <x v="3"/>
    <x v="0"/>
    <x v="1"/>
  </r>
  <r>
    <n v="1096"/>
    <x v="95"/>
    <x v="2"/>
    <x v="9"/>
    <x v="3"/>
    <x v="3"/>
    <n v="3"/>
    <n v="311"/>
    <x v="0"/>
    <x v="3"/>
    <x v="0"/>
    <x v="0"/>
  </r>
  <r>
    <n v="1097"/>
    <x v="96"/>
    <x v="0"/>
    <x v="9"/>
    <x v="4"/>
    <x v="4"/>
    <n v="3"/>
    <n v="387"/>
    <x v="0"/>
    <x v="6"/>
    <x v="2"/>
    <x v="0"/>
  </r>
  <r>
    <n v="1098"/>
    <x v="97"/>
    <x v="2"/>
    <x v="9"/>
    <x v="6"/>
    <x v="6"/>
    <n v="2"/>
    <n v="282"/>
    <x v="0"/>
    <x v="6"/>
    <x v="2"/>
    <x v="1"/>
  </r>
  <r>
    <n v="1099"/>
    <x v="98"/>
    <x v="0"/>
    <x v="5"/>
    <x v="4"/>
    <x v="4"/>
    <n v="3"/>
    <n v="491"/>
    <x v="0"/>
    <x v="5"/>
    <x v="0"/>
    <x v="0"/>
  </r>
  <r>
    <n v="1100"/>
    <x v="99"/>
    <x v="3"/>
    <x v="5"/>
    <x v="6"/>
    <x v="6"/>
    <n v="1"/>
    <n v="446"/>
    <x v="0"/>
    <x v="1"/>
    <x v="3"/>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001"/>
    <x v="0"/>
    <s v="Rajkot"/>
    <d v="2025-06-02T00:00:00"/>
    <s v="Pizza Hut"/>
    <s v="Cheese Burst Pizza"/>
    <n v="3"/>
    <n v="357"/>
    <s v="Delivered"/>
    <s v="Swiggy"/>
    <n v="3"/>
    <s v="Cash"/>
    <n v="1071"/>
  </r>
  <r>
    <n v="1002"/>
    <x v="1"/>
    <s v="Baroda"/>
    <d v="2025-06-07T00:00:00"/>
    <s v="Hocco Eatery"/>
    <s v="Pav Bhaji"/>
    <n v="1"/>
    <n v="411"/>
    <s v="Cancelled"/>
    <s v="Zomato"/>
    <s v="-"/>
    <s v="Cash"/>
    <n v="411"/>
  </r>
  <r>
    <n v="1003"/>
    <x v="2"/>
    <s v="Ahmedabad"/>
    <d v="2025-06-07T00:00:00"/>
    <s v="Burger King"/>
    <s v="Chicken Whopper"/>
    <n v="2"/>
    <n v="400"/>
    <s v="Delivered"/>
    <s v="Swiggy"/>
    <n v="4"/>
    <s v="Cash"/>
    <n v="800"/>
  </r>
  <r>
    <n v="1004"/>
    <x v="3"/>
    <s v="Baroda"/>
    <d v="2025-06-01T00:00:00"/>
    <s v="Biryani House"/>
    <s v="Chicken Biryani"/>
    <n v="2"/>
    <n v="215"/>
    <s v="Delivered"/>
    <s v="Swiggy"/>
    <n v="4"/>
    <s v="Cash"/>
    <n v="430"/>
  </r>
  <r>
    <n v="1005"/>
    <x v="4"/>
    <s v="Surat"/>
    <d v="2025-06-10T00:00:00"/>
    <s v="Pizza Hut"/>
    <s v="Cheese Burst Pizza"/>
    <n v="1"/>
    <n v="495"/>
    <s v="Delivered"/>
    <s v="Swiggy"/>
    <n v="3"/>
    <s v="Online"/>
    <n v="495"/>
  </r>
  <r>
    <n v="1006"/>
    <x v="5"/>
    <s v="Surat"/>
    <d v="2025-06-10T00:00:00"/>
    <s v="Hocco Eatery"/>
    <s v="Pav Bhaji"/>
    <n v="2"/>
    <n v="364"/>
    <s v="Delivered"/>
    <s v="Swiggy"/>
    <n v="4"/>
    <s v="Cash"/>
    <n v="728"/>
  </r>
  <r>
    <n v="1007"/>
    <x v="6"/>
    <s v="Surat"/>
    <d v="2025-06-04T00:00:00"/>
    <s v="McDonald's"/>
    <s v="McAloo Tikki"/>
    <n v="3"/>
    <n v="252"/>
    <s v="Delivered"/>
    <s v="Zomato"/>
    <n v="3"/>
    <s v="Online"/>
    <n v="756"/>
  </r>
  <r>
    <n v="1008"/>
    <x v="7"/>
    <s v="Rajkot"/>
    <d v="2025-06-10T00:00:00"/>
    <s v="Hocco Eatery"/>
    <s v="Pav Bhaji"/>
    <n v="3"/>
    <n v="221"/>
    <s v="Cancelled"/>
    <s v="Swiggy"/>
    <s v="-"/>
    <s v="Online"/>
    <n v="663"/>
  </r>
  <r>
    <n v="1009"/>
    <x v="8"/>
    <s v="Surat"/>
    <d v="2025-06-04T00:00:00"/>
    <s v="Pizza Hut"/>
    <s v="Cheese Burst Pizza"/>
    <n v="1"/>
    <n v="253"/>
    <s v="Delivered"/>
    <s v="Zomato"/>
    <n v="4"/>
    <s v="Online"/>
    <n v="253"/>
  </r>
  <r>
    <n v="1010"/>
    <x v="9"/>
    <s v="Rajkot"/>
    <d v="2025-06-09T00:00:00"/>
    <s v="McDonald's"/>
    <s v="McAloo Tikki"/>
    <n v="3"/>
    <n v="315"/>
    <s v="Delivered"/>
    <s v="Swiggy"/>
    <n v="4"/>
    <s v="Online"/>
    <n v="945"/>
  </r>
  <r>
    <n v="1011"/>
    <x v="10"/>
    <s v="Rajkot"/>
    <d v="2025-06-08T00:00:00"/>
    <s v="KFC"/>
    <s v="Chicken Bucket"/>
    <n v="2"/>
    <n v="198"/>
    <s v="Delivered"/>
    <s v="Swiggy"/>
    <n v="5"/>
    <s v="Cash"/>
    <n v="396"/>
  </r>
  <r>
    <n v="1012"/>
    <x v="11"/>
    <s v="Rajkot"/>
    <d v="2025-06-07T00:00:00"/>
    <s v="Biryani House"/>
    <s v="Chicken Biryani"/>
    <n v="3"/>
    <n v="184"/>
    <s v="Delivered"/>
    <s v="Zomato"/>
    <n v="4"/>
    <s v="Online"/>
    <n v="552"/>
  </r>
  <r>
    <n v="1013"/>
    <x v="12"/>
    <s v="Baroda"/>
    <d v="2025-06-02T00:00:00"/>
    <s v="McDonald's"/>
    <s v="McAloo Tikki"/>
    <n v="2"/>
    <n v="354"/>
    <s v="Delivered"/>
    <s v="Zomato"/>
    <n v="3"/>
    <s v="Online"/>
    <n v="708"/>
  </r>
  <r>
    <n v="1014"/>
    <x v="13"/>
    <s v="Ahmedabad"/>
    <d v="2025-06-08T00:00:00"/>
    <s v="Domino's Pizza"/>
    <s v="Veg Pizza"/>
    <n v="2"/>
    <n v="281"/>
    <s v="Delivered"/>
    <s v="Swiggy"/>
    <n v="5"/>
    <s v="Online"/>
    <n v="562"/>
  </r>
  <r>
    <n v="1015"/>
    <x v="14"/>
    <s v="Baroda"/>
    <d v="2025-06-08T00:00:00"/>
    <s v="Pizza Hut"/>
    <s v="Cheese Burst Pizza"/>
    <n v="3"/>
    <n v="138"/>
    <s v="Delivered"/>
    <s v="Zomato"/>
    <n v="3"/>
    <s v="Cash"/>
    <n v="414"/>
  </r>
  <r>
    <n v="1016"/>
    <x v="15"/>
    <s v="Ahmedabad"/>
    <d v="2025-06-01T00:00:00"/>
    <s v="KFC"/>
    <s v="Chicken Bucket"/>
    <n v="2"/>
    <n v="203"/>
    <s v="Delivered"/>
    <s v="Swiggy"/>
    <n v="3"/>
    <s v="Online"/>
    <n v="406"/>
  </r>
  <r>
    <n v="1017"/>
    <x v="16"/>
    <s v="Ahmedabad"/>
    <d v="2025-06-07T00:00:00"/>
    <s v="McDonald's"/>
    <s v="McAloo Tikki"/>
    <n v="3"/>
    <n v="202"/>
    <s v="Delivered"/>
    <s v="Swiggy"/>
    <n v="5"/>
    <s v="Cash"/>
    <n v="606"/>
  </r>
  <r>
    <n v="1018"/>
    <x v="17"/>
    <s v="Surat"/>
    <d v="2025-06-11T00:00:00"/>
    <s v="Hocco Eatery"/>
    <s v="Pav Bhaji"/>
    <n v="1"/>
    <n v="302"/>
    <s v="Delivered"/>
    <s v="Swiggy"/>
    <n v="3"/>
    <s v="Cash"/>
    <n v="302"/>
  </r>
  <r>
    <n v="1019"/>
    <x v="18"/>
    <s v="Rajkot"/>
    <d v="2025-06-02T00:00:00"/>
    <s v="Biryani House"/>
    <s v="Chicken Biryani"/>
    <n v="3"/>
    <n v="407"/>
    <s v="Delivered"/>
    <s v="Swiggy"/>
    <n v="3"/>
    <s v="Online"/>
    <n v="1221"/>
  </r>
  <r>
    <n v="1020"/>
    <x v="19"/>
    <s v="Ahmedabad"/>
    <d v="2025-06-11T00:00:00"/>
    <s v="McDonald's"/>
    <s v="McAloo Tikki"/>
    <n v="1"/>
    <n v="347"/>
    <s v="Delivered"/>
    <s v="Swiggy"/>
    <n v="5"/>
    <s v="Online"/>
    <n v="347"/>
  </r>
  <r>
    <n v="1021"/>
    <x v="20"/>
    <s v="Ahmedabad"/>
    <d v="2025-06-09T00:00:00"/>
    <s v="Hocco Eatery"/>
    <s v="Pav Bhaji"/>
    <n v="3"/>
    <n v="450"/>
    <s v="Delivered"/>
    <s v="Zomato"/>
    <n v="5"/>
    <s v="Cash"/>
    <n v="1350"/>
  </r>
  <r>
    <n v="1022"/>
    <x v="21"/>
    <s v="Ahmedabad"/>
    <d v="2025-06-02T00:00:00"/>
    <s v="KFC"/>
    <s v="Chicken Bucket"/>
    <n v="1"/>
    <n v="180"/>
    <s v="Delivered"/>
    <s v="Swiggy"/>
    <n v="3"/>
    <s v="Online"/>
    <n v="180"/>
  </r>
  <r>
    <n v="1023"/>
    <x v="22"/>
    <s v="Rajkot"/>
    <d v="2025-06-11T00:00:00"/>
    <s v="McDonald's"/>
    <s v="McAloo Tikki"/>
    <n v="2"/>
    <n v="484"/>
    <s v="Delivered"/>
    <s v="Swiggy"/>
    <n v="4"/>
    <s v="Cash"/>
    <n v="968"/>
  </r>
  <r>
    <n v="1024"/>
    <x v="23"/>
    <s v="Rajkot"/>
    <d v="2025-06-08T00:00:00"/>
    <s v="McDonald's"/>
    <s v="McAloo Tikki"/>
    <n v="1"/>
    <n v="329"/>
    <s v="Delivered"/>
    <s v="Swiggy"/>
    <n v="4"/>
    <s v="Cash"/>
    <n v="329"/>
  </r>
  <r>
    <n v="1025"/>
    <x v="24"/>
    <s v="Baroda"/>
    <d v="2025-06-03T00:00:00"/>
    <s v="Hocco Eatery"/>
    <s v="Pav Bhaji"/>
    <n v="1"/>
    <n v="239"/>
    <s v="Delivered"/>
    <s v="Swiggy"/>
    <n v="4"/>
    <s v="Online"/>
    <n v="239"/>
  </r>
  <r>
    <n v="1026"/>
    <x v="25"/>
    <s v="Ahmedabad"/>
    <d v="2025-06-02T00:00:00"/>
    <s v="Hocco Eatery"/>
    <s v="Pav Bhaji"/>
    <n v="3"/>
    <n v="338"/>
    <s v="Cancelled"/>
    <s v="Zomato"/>
    <s v="-"/>
    <s v="Online"/>
    <n v="1014"/>
  </r>
  <r>
    <n v="1027"/>
    <x v="26"/>
    <s v="Baroda"/>
    <d v="2025-06-11T00:00:00"/>
    <s v="Domino's Pizza"/>
    <s v="Veg Pizza"/>
    <n v="1"/>
    <n v="258"/>
    <s v="Delivered"/>
    <s v="Swiggy"/>
    <n v="5"/>
    <s v="Cash"/>
    <n v="258"/>
  </r>
  <r>
    <n v="1028"/>
    <x v="27"/>
    <s v="Surat"/>
    <d v="2025-06-02T00:00:00"/>
    <s v="KFC"/>
    <s v="Chicken Bucket"/>
    <n v="2"/>
    <n v="208"/>
    <s v="Delivered"/>
    <s v="Zomato"/>
    <n v="3"/>
    <s v="Online"/>
    <n v="416"/>
  </r>
  <r>
    <n v="1029"/>
    <x v="28"/>
    <s v="Surat"/>
    <d v="2025-06-04T00:00:00"/>
    <s v="McDonald's"/>
    <s v="McAloo Tikki"/>
    <n v="2"/>
    <n v="208"/>
    <s v="Delivered"/>
    <s v="Swiggy"/>
    <n v="4"/>
    <s v="Online"/>
    <n v="416"/>
  </r>
  <r>
    <n v="1030"/>
    <x v="29"/>
    <s v="Rajkot"/>
    <d v="2025-06-11T00:00:00"/>
    <s v="Hocco Eatery"/>
    <s v="Pav Bhaji"/>
    <n v="1"/>
    <n v="339"/>
    <s v="Delivered"/>
    <s v="Swiggy"/>
    <n v="5"/>
    <s v="Cash"/>
    <n v="339"/>
  </r>
  <r>
    <n v="1031"/>
    <x v="30"/>
    <s v="Ahmedabad"/>
    <d v="2025-06-08T00:00:00"/>
    <s v="McDonald's"/>
    <s v="McAloo Tikki"/>
    <n v="1"/>
    <n v="452"/>
    <s v="Delivered"/>
    <s v="Zomato"/>
    <n v="5"/>
    <s v="Cash"/>
    <n v="452"/>
  </r>
  <r>
    <n v="1032"/>
    <x v="31"/>
    <s v="Baroda"/>
    <d v="2025-06-08T00:00:00"/>
    <s v="Burger King"/>
    <s v="Chicken Whopper"/>
    <n v="3"/>
    <n v="455"/>
    <s v="Delivered"/>
    <s v="Zomato"/>
    <n v="3"/>
    <s v="Cash"/>
    <n v="1365"/>
  </r>
  <r>
    <n v="1033"/>
    <x v="32"/>
    <s v="Baroda"/>
    <d v="2025-06-11T00:00:00"/>
    <s v="Pizza Hut"/>
    <s v="Cheese Burst Pizza"/>
    <n v="3"/>
    <n v="334"/>
    <s v="Delivered"/>
    <s v="Zomato"/>
    <n v="3"/>
    <s v="Cash"/>
    <n v="1002"/>
  </r>
  <r>
    <n v="1034"/>
    <x v="33"/>
    <s v="Baroda"/>
    <d v="2025-06-07T00:00:00"/>
    <s v="Biryani House"/>
    <s v="Chicken Biryani"/>
    <n v="1"/>
    <n v="168"/>
    <s v="Delivered"/>
    <s v="Zomato"/>
    <n v="4"/>
    <s v="Cash"/>
    <n v="168"/>
  </r>
  <r>
    <n v="1035"/>
    <x v="34"/>
    <s v="Baroda"/>
    <d v="2025-06-08T00:00:00"/>
    <s v="Biryani House"/>
    <s v="Chicken Biryani"/>
    <n v="3"/>
    <n v="374"/>
    <s v="Delivered"/>
    <s v="Zomato"/>
    <n v="3"/>
    <s v="Cash"/>
    <n v="1122"/>
  </r>
  <r>
    <n v="1036"/>
    <x v="35"/>
    <s v="Ahmedabad"/>
    <d v="2025-06-02T00:00:00"/>
    <s v="Pizza Hut"/>
    <s v="Cheese Burst Pizza"/>
    <n v="1"/>
    <n v="234"/>
    <s v="Delivered"/>
    <s v="Zomato"/>
    <n v="3"/>
    <s v="Online"/>
    <n v="234"/>
  </r>
  <r>
    <n v="1037"/>
    <x v="36"/>
    <s v="Surat"/>
    <d v="2025-06-01T00:00:00"/>
    <s v="Hocco Eatery"/>
    <s v="Pav Bhaji"/>
    <n v="3"/>
    <n v="180"/>
    <s v="Delivered"/>
    <s v="Swiggy"/>
    <n v="4"/>
    <s v="Online"/>
    <n v="540"/>
  </r>
  <r>
    <n v="1038"/>
    <x v="37"/>
    <s v="Baroda"/>
    <d v="2025-06-08T00:00:00"/>
    <s v="Burger King"/>
    <s v="Chicken Whopper"/>
    <n v="2"/>
    <n v="492"/>
    <s v="Delivered"/>
    <s v="Swiggy"/>
    <n v="4"/>
    <s v="Cash"/>
    <n v="984"/>
  </r>
  <r>
    <n v="1039"/>
    <x v="38"/>
    <s v="Rajkot"/>
    <d v="2025-06-01T00:00:00"/>
    <s v="Burger King"/>
    <s v="Chicken Whopper"/>
    <n v="2"/>
    <n v="429"/>
    <s v="Delivered"/>
    <s v="Swiggy"/>
    <n v="5"/>
    <s v="Cash"/>
    <n v="858"/>
  </r>
  <r>
    <n v="1040"/>
    <x v="39"/>
    <s v="Baroda"/>
    <d v="2025-06-01T00:00:00"/>
    <s v="Biryani House"/>
    <s v="Chicken Biryani"/>
    <n v="3"/>
    <n v="368"/>
    <s v="Delivered"/>
    <s v="Swiggy"/>
    <n v="3"/>
    <s v="Cash"/>
    <n v="1104"/>
  </r>
  <r>
    <n v="1041"/>
    <x v="40"/>
    <s v="Ahmedabad"/>
    <d v="2025-06-05T00:00:00"/>
    <s v="Burger King"/>
    <s v="Chicken Whopper"/>
    <n v="3"/>
    <n v="474"/>
    <s v="Delivered"/>
    <s v="Swiggy"/>
    <n v="3"/>
    <s v="Online"/>
    <n v="1422"/>
  </r>
  <r>
    <n v="1042"/>
    <x v="41"/>
    <s v="Baroda"/>
    <d v="2025-06-05T00:00:00"/>
    <s v="Burger King"/>
    <s v="Chicken Whopper"/>
    <n v="3"/>
    <n v="178"/>
    <s v="Delivered"/>
    <s v="Swiggy"/>
    <n v="4"/>
    <s v="Cash"/>
    <n v="534"/>
  </r>
  <r>
    <n v="1043"/>
    <x v="42"/>
    <s v="Ahmedabad"/>
    <d v="2025-06-03T00:00:00"/>
    <s v="Pizza Hut"/>
    <s v="Cheese Burst Pizza"/>
    <n v="3"/>
    <n v="218"/>
    <s v="Delivered"/>
    <s v="Zomato"/>
    <n v="4"/>
    <s v="Cash"/>
    <n v="654"/>
  </r>
  <r>
    <n v="1044"/>
    <x v="43"/>
    <s v="Rajkot"/>
    <d v="2025-06-06T00:00:00"/>
    <s v="McDonald's"/>
    <s v="McAloo Tikki"/>
    <n v="1"/>
    <n v="370"/>
    <s v="Delivered"/>
    <s v="Zomato"/>
    <n v="4"/>
    <s v="Online"/>
    <n v="370"/>
  </r>
  <r>
    <n v="1045"/>
    <x v="44"/>
    <s v="Surat"/>
    <d v="2025-06-01T00:00:00"/>
    <s v="Hocco Eatery"/>
    <s v="Pav Bhaji"/>
    <n v="3"/>
    <n v="209"/>
    <s v="Delivered"/>
    <s v="Zomato"/>
    <n v="4"/>
    <s v="Online"/>
    <n v="627"/>
  </r>
  <r>
    <n v="1046"/>
    <x v="45"/>
    <s v="Baroda"/>
    <d v="2025-06-01T00:00:00"/>
    <s v="Burger King"/>
    <s v="Chicken Whopper"/>
    <n v="1"/>
    <n v="381"/>
    <s v="Delivered"/>
    <s v="Zomato"/>
    <n v="5"/>
    <s v="Cash"/>
    <n v="381"/>
  </r>
  <r>
    <n v="1047"/>
    <x v="46"/>
    <s v="Surat"/>
    <d v="2025-06-01T00:00:00"/>
    <s v="Subway"/>
    <s v="Paneer Sub"/>
    <n v="1"/>
    <n v="354"/>
    <s v="Delivered"/>
    <s v="Swiggy"/>
    <n v="3"/>
    <s v="Online"/>
    <n v="354"/>
  </r>
  <r>
    <n v="1048"/>
    <x v="47"/>
    <s v="Baroda"/>
    <d v="2025-06-08T00:00:00"/>
    <s v="McDonald's"/>
    <s v="McAloo Tikki"/>
    <n v="2"/>
    <n v="472"/>
    <s v="Delivered"/>
    <s v="Zomato"/>
    <n v="5"/>
    <s v="Online"/>
    <n v="944"/>
  </r>
  <r>
    <n v="1049"/>
    <x v="48"/>
    <s v="Rajkot"/>
    <d v="2025-06-08T00:00:00"/>
    <s v="Hocco Eatery"/>
    <s v="Pav Bhaji"/>
    <n v="1"/>
    <n v="309"/>
    <s v="Delivered"/>
    <s v="Swiggy"/>
    <n v="3"/>
    <s v="Online"/>
    <n v="309"/>
  </r>
  <r>
    <n v="1050"/>
    <x v="49"/>
    <s v="Surat"/>
    <d v="2025-06-05T00:00:00"/>
    <s v="Domino's Pizza"/>
    <s v="Veg Pizza"/>
    <n v="2"/>
    <n v="289"/>
    <s v="Delivered"/>
    <s v="Swiggy"/>
    <n v="5"/>
    <s v="Cash"/>
    <n v="578"/>
  </r>
  <r>
    <n v="1051"/>
    <x v="50"/>
    <s v="Ahmedabad"/>
    <d v="2025-06-09T00:00:00"/>
    <s v="Pizza Hut"/>
    <s v="Cheese Burst Pizza"/>
    <n v="1"/>
    <n v="383"/>
    <s v="Delivered"/>
    <s v="Swiggy"/>
    <n v="3"/>
    <s v="Online"/>
    <n v="383"/>
  </r>
  <r>
    <n v="1052"/>
    <x v="51"/>
    <s v="Rajkot"/>
    <d v="2025-06-02T00:00:00"/>
    <s v="Biryani House"/>
    <s v="Chicken Biryani"/>
    <n v="3"/>
    <n v="185"/>
    <s v="Delivered"/>
    <s v="Zomato"/>
    <n v="4"/>
    <s v="Cash"/>
    <n v="555"/>
  </r>
  <r>
    <n v="1053"/>
    <x v="52"/>
    <s v="Rajkot"/>
    <d v="2025-06-03T00:00:00"/>
    <s v="KFC"/>
    <s v="Chicken Bucket"/>
    <n v="3"/>
    <n v="357"/>
    <s v="Delivered"/>
    <s v="Zomato"/>
    <n v="4"/>
    <s v="Online"/>
    <n v="1071"/>
  </r>
  <r>
    <n v="1054"/>
    <x v="53"/>
    <s v="Baroda"/>
    <d v="2025-06-05T00:00:00"/>
    <s v="Biryani House"/>
    <s v="Chicken Biryani"/>
    <n v="1"/>
    <n v="395"/>
    <s v="Delivered"/>
    <s v="Swiggy"/>
    <n v="4"/>
    <s v="Online"/>
    <n v="395"/>
  </r>
  <r>
    <n v="1055"/>
    <x v="54"/>
    <s v="Surat"/>
    <d v="2025-06-05T00:00:00"/>
    <s v="Hocco Eatery"/>
    <s v="Pav Bhaji"/>
    <n v="3"/>
    <n v="461"/>
    <s v="Delivered"/>
    <s v="Swiggy"/>
    <n v="5"/>
    <s v="Online"/>
    <n v="1383"/>
  </r>
  <r>
    <n v="1056"/>
    <x v="55"/>
    <s v="Baroda"/>
    <d v="2025-06-09T00:00:00"/>
    <s v="Domino's Pizza"/>
    <s v="Veg Pizza"/>
    <n v="2"/>
    <n v="415"/>
    <s v="Delivered"/>
    <s v="Zomato"/>
    <n v="5"/>
    <s v="Online"/>
    <n v="830"/>
  </r>
  <r>
    <n v="1057"/>
    <x v="56"/>
    <s v="Surat"/>
    <d v="2025-06-08T00:00:00"/>
    <s v="Domino's Pizza"/>
    <s v="Veg Pizza"/>
    <n v="2"/>
    <n v="479"/>
    <s v="Cancelled"/>
    <s v="Swiggy"/>
    <s v="-"/>
    <s v="Online"/>
    <n v="958"/>
  </r>
  <r>
    <n v="1058"/>
    <x v="57"/>
    <s v="Ahmedabad"/>
    <d v="2025-06-11T00:00:00"/>
    <s v="KFC"/>
    <s v="Chicken Bucket"/>
    <n v="1"/>
    <n v="254"/>
    <s v="Delivered"/>
    <s v="Swiggy"/>
    <n v="5"/>
    <s v="Online"/>
    <n v="254"/>
  </r>
  <r>
    <n v="1059"/>
    <x v="58"/>
    <s v="Rajkot"/>
    <d v="2025-06-09T00:00:00"/>
    <s v="KFC"/>
    <s v="Chicken Bucket"/>
    <n v="2"/>
    <n v="491"/>
    <s v="Cancelled"/>
    <s v="Zomato"/>
    <s v="-"/>
    <s v="Online"/>
    <n v="982"/>
  </r>
  <r>
    <n v="1060"/>
    <x v="59"/>
    <s v="Surat"/>
    <d v="2025-06-07T00:00:00"/>
    <s v="Burger King"/>
    <s v="Chicken Whopper"/>
    <n v="2"/>
    <n v="348"/>
    <s v="Cancelled"/>
    <s v="Swiggy"/>
    <s v="-"/>
    <s v="Online"/>
    <n v="696"/>
  </r>
  <r>
    <n v="1061"/>
    <x v="60"/>
    <s v="Surat"/>
    <d v="2025-06-08T00:00:00"/>
    <s v="KFC"/>
    <s v="Chicken Bucket"/>
    <n v="1"/>
    <n v="461"/>
    <s v="Delivered"/>
    <s v="Zomato"/>
    <n v="5"/>
    <s v="Cash"/>
    <n v="461"/>
  </r>
  <r>
    <n v="1062"/>
    <x v="61"/>
    <s v="Rajkot"/>
    <d v="2025-06-06T00:00:00"/>
    <s v="Biryani House"/>
    <s v="Chicken Biryani"/>
    <n v="3"/>
    <n v="324"/>
    <s v="Delivered"/>
    <s v="Zomato"/>
    <n v="5"/>
    <s v="Cash"/>
    <n v="972"/>
  </r>
  <r>
    <n v="1063"/>
    <x v="62"/>
    <s v="Baroda"/>
    <d v="2025-06-03T00:00:00"/>
    <s v="Subway"/>
    <s v="Paneer Sub"/>
    <n v="1"/>
    <n v="241"/>
    <s v="Delivered"/>
    <s v="Swiggy"/>
    <n v="3"/>
    <s v="Online"/>
    <n v="241"/>
  </r>
  <r>
    <n v="1064"/>
    <x v="63"/>
    <s v="Surat"/>
    <d v="2025-06-06T00:00:00"/>
    <s v="KFC"/>
    <s v="Chicken Bucket"/>
    <n v="1"/>
    <n v="456"/>
    <s v="Delivered"/>
    <s v="Zomato"/>
    <n v="3"/>
    <s v="Online"/>
    <n v="456"/>
  </r>
  <r>
    <n v="1065"/>
    <x v="64"/>
    <s v="Baroda"/>
    <d v="2025-06-08T00:00:00"/>
    <s v="Biryani House"/>
    <s v="Chicken Biryani"/>
    <n v="3"/>
    <n v="457"/>
    <s v="Delivered"/>
    <s v="Swiggy"/>
    <n v="3"/>
    <s v="Cash"/>
    <n v="1371"/>
  </r>
  <r>
    <n v="1066"/>
    <x v="65"/>
    <s v="Baroda"/>
    <d v="2025-06-07T00:00:00"/>
    <s v="Biryani House"/>
    <s v="Chicken Biryani"/>
    <n v="2"/>
    <n v="477"/>
    <s v="Delivered"/>
    <s v="Swiggy"/>
    <n v="3"/>
    <s v="Online"/>
    <n v="954"/>
  </r>
  <r>
    <n v="1067"/>
    <x v="66"/>
    <s v="Rajkot"/>
    <d v="2025-06-02T00:00:00"/>
    <s v="Pizza Hut"/>
    <s v="Cheese Burst Pizza"/>
    <n v="3"/>
    <n v="483"/>
    <s v="Delivered"/>
    <s v="Swiggy"/>
    <n v="5"/>
    <s v="Online"/>
    <n v="1449"/>
  </r>
  <r>
    <n v="1068"/>
    <x v="67"/>
    <s v="Rajkot"/>
    <d v="2025-06-06T00:00:00"/>
    <s v="Domino's Pizza"/>
    <s v="Veg Pizza"/>
    <n v="2"/>
    <n v="257"/>
    <s v="Delivered"/>
    <s v="Swiggy"/>
    <n v="4"/>
    <s v="Online"/>
    <n v="514"/>
  </r>
  <r>
    <n v="1069"/>
    <x v="68"/>
    <s v="Baroda"/>
    <d v="2025-06-09T00:00:00"/>
    <s v="Hocco Eatery"/>
    <s v="Pav Bhaji"/>
    <n v="1"/>
    <n v="164"/>
    <s v="Delivered"/>
    <s v="Swiggy"/>
    <n v="3"/>
    <s v="Cash"/>
    <n v="164"/>
  </r>
  <r>
    <n v="1070"/>
    <x v="69"/>
    <s v="Ahmedabad"/>
    <d v="2025-06-04T00:00:00"/>
    <s v="Biryani House"/>
    <s v="Chicken Biryani"/>
    <n v="2"/>
    <n v="233"/>
    <s v="Delivered"/>
    <s v="Swiggy"/>
    <n v="5"/>
    <s v="Cash"/>
    <n v="466"/>
  </r>
  <r>
    <n v="1071"/>
    <x v="70"/>
    <s v="Ahmedabad"/>
    <d v="2025-06-03T00:00:00"/>
    <s v="Subway"/>
    <s v="Paneer Sub"/>
    <n v="3"/>
    <n v="457"/>
    <s v="Delivered"/>
    <s v="Zomato"/>
    <n v="4"/>
    <s v="Cash"/>
    <n v="1371"/>
  </r>
  <r>
    <n v="1072"/>
    <x v="71"/>
    <s v="Baroda"/>
    <d v="2025-06-01T00:00:00"/>
    <s v="Pizza Hut"/>
    <s v="Cheese Burst Pizza"/>
    <n v="1"/>
    <n v="458"/>
    <s v="Delivered"/>
    <s v="Swiggy"/>
    <n v="4"/>
    <s v="Online"/>
    <n v="458"/>
  </r>
  <r>
    <n v="1073"/>
    <x v="72"/>
    <s v="Surat"/>
    <d v="2025-06-01T00:00:00"/>
    <s v="Domino's Pizza"/>
    <s v="Veg Pizza"/>
    <n v="1"/>
    <n v="326"/>
    <s v="Delivered"/>
    <s v="Swiggy"/>
    <n v="3"/>
    <s v="Cash"/>
    <n v="326"/>
  </r>
  <r>
    <n v="1074"/>
    <x v="73"/>
    <s v="Rajkot"/>
    <d v="2025-06-02T00:00:00"/>
    <s v="Hocco Eatery"/>
    <s v="Pav Bhaji"/>
    <n v="3"/>
    <n v="135"/>
    <s v="Cancelled"/>
    <s v="Swiggy"/>
    <s v="-"/>
    <s v="Cash"/>
    <n v="405"/>
  </r>
  <r>
    <n v="1075"/>
    <x v="74"/>
    <s v="Baroda"/>
    <d v="2025-06-01T00:00:00"/>
    <s v="Subway"/>
    <s v="Paneer Sub"/>
    <n v="3"/>
    <n v="491"/>
    <s v="Delivered"/>
    <s v="Zomato"/>
    <n v="5"/>
    <s v="Cash"/>
    <n v="1473"/>
  </r>
  <r>
    <n v="1076"/>
    <x v="75"/>
    <s v="Ahmedabad"/>
    <d v="2025-06-02T00:00:00"/>
    <s v="Domino's Pizza"/>
    <s v="Veg Pizza"/>
    <n v="2"/>
    <n v="362"/>
    <s v="Delivered"/>
    <s v="Swiggy"/>
    <n v="5"/>
    <s v="Cash"/>
    <n v="724"/>
  </r>
  <r>
    <n v="1077"/>
    <x v="76"/>
    <s v="Ahmedabad"/>
    <d v="2025-06-03T00:00:00"/>
    <s v="KFC"/>
    <s v="Chicken Bucket"/>
    <n v="1"/>
    <n v="461"/>
    <s v="Delivered"/>
    <s v="Zomato"/>
    <n v="3"/>
    <s v="Cash"/>
    <n v="461"/>
  </r>
  <r>
    <n v="1078"/>
    <x v="77"/>
    <s v="Rajkot"/>
    <d v="2025-06-10T00:00:00"/>
    <s v="Subway"/>
    <s v="Paneer Sub"/>
    <n v="3"/>
    <n v="232"/>
    <s v="Delivered"/>
    <s v="Zomato"/>
    <n v="4"/>
    <s v="Online"/>
    <n v="696"/>
  </r>
  <r>
    <n v="1079"/>
    <x v="78"/>
    <s v="Rajkot"/>
    <d v="2025-06-03T00:00:00"/>
    <s v="Subway"/>
    <s v="Paneer Sub"/>
    <n v="1"/>
    <n v="218"/>
    <s v="Delivered"/>
    <s v="Swiggy"/>
    <n v="4"/>
    <s v="Online"/>
    <n v="218"/>
  </r>
  <r>
    <n v="1080"/>
    <x v="79"/>
    <s v="Ahmedabad"/>
    <d v="2025-06-06T00:00:00"/>
    <s v="Pizza Hut"/>
    <s v="Cheese Burst Pizza"/>
    <n v="1"/>
    <n v="441"/>
    <s v="Delivered"/>
    <s v="Swiggy"/>
    <n v="3"/>
    <s v="Cash"/>
    <n v="441"/>
  </r>
  <r>
    <n v="1081"/>
    <x v="80"/>
    <s v="Baroda"/>
    <d v="2025-06-10T00:00:00"/>
    <s v="Pizza Hut"/>
    <s v="Cheese Burst Pizza"/>
    <n v="1"/>
    <n v="135"/>
    <s v="Cancelled"/>
    <s v="Swiggy"/>
    <s v="-"/>
    <s v="Online"/>
    <n v="135"/>
  </r>
  <r>
    <n v="1082"/>
    <x v="81"/>
    <s v="Ahmedabad"/>
    <d v="2025-06-07T00:00:00"/>
    <s v="Pizza Hut"/>
    <s v="Cheese Burst Pizza"/>
    <n v="2"/>
    <n v="215"/>
    <s v="Delivered"/>
    <s v="Swiggy"/>
    <n v="5"/>
    <s v="Online"/>
    <n v="430"/>
  </r>
  <r>
    <n v="1083"/>
    <x v="82"/>
    <s v="Ahmedabad"/>
    <d v="2025-06-05T00:00:00"/>
    <s v="Burger King"/>
    <s v="Chicken Whopper"/>
    <n v="2"/>
    <n v="368"/>
    <s v="Cancelled"/>
    <s v="Swiggy"/>
    <s v="-"/>
    <s v="Cash"/>
    <n v="736"/>
  </r>
  <r>
    <n v="1084"/>
    <x v="83"/>
    <s v="Rajkot"/>
    <d v="2025-06-05T00:00:00"/>
    <s v="McDonald's"/>
    <s v="McAloo Tikki"/>
    <n v="3"/>
    <n v="151"/>
    <s v="Delivered"/>
    <s v="Zomato"/>
    <n v="4"/>
    <s v="Online"/>
    <n v="453"/>
  </r>
  <r>
    <n v="1085"/>
    <x v="84"/>
    <s v="Surat"/>
    <d v="2025-06-03T00:00:00"/>
    <s v="McDonald's"/>
    <s v="McAloo Tikki"/>
    <n v="1"/>
    <n v="219"/>
    <s v="Delivered"/>
    <s v="Swiggy"/>
    <n v="4"/>
    <s v="Online"/>
    <n v="219"/>
  </r>
  <r>
    <n v="1086"/>
    <x v="85"/>
    <s v="Rajkot"/>
    <d v="2025-06-06T00:00:00"/>
    <s v="Subway"/>
    <s v="Paneer Sub"/>
    <n v="2"/>
    <n v="261"/>
    <s v="Delivered"/>
    <s v="Swiggy"/>
    <n v="3"/>
    <s v="Cash"/>
    <n v="522"/>
  </r>
  <r>
    <n v="1087"/>
    <x v="86"/>
    <s v="Baroda"/>
    <d v="2025-06-11T00:00:00"/>
    <s v="Hocco Eatery"/>
    <s v="Pav Bhaji"/>
    <n v="2"/>
    <n v="217"/>
    <s v="Delivered"/>
    <s v="Zomato"/>
    <n v="5"/>
    <s v="Online"/>
    <n v="434"/>
  </r>
  <r>
    <n v="1088"/>
    <x v="87"/>
    <s v="Ahmedabad"/>
    <d v="2025-06-02T00:00:00"/>
    <s v="Hocco Eatery"/>
    <s v="Pav Bhaji"/>
    <n v="2"/>
    <n v="259"/>
    <s v="Delivered"/>
    <s v="Swiggy"/>
    <n v="3"/>
    <s v="Online"/>
    <n v="518"/>
  </r>
  <r>
    <n v="1089"/>
    <x v="88"/>
    <s v="Baroda"/>
    <d v="2025-06-10T00:00:00"/>
    <s v="Biryani House"/>
    <s v="Chicken Biryani"/>
    <n v="3"/>
    <n v="246"/>
    <s v="Delivered"/>
    <s v="Swiggy"/>
    <n v="4"/>
    <s v="Cash"/>
    <n v="738"/>
  </r>
  <r>
    <n v="1090"/>
    <x v="89"/>
    <s v="Ahmedabad"/>
    <d v="2025-06-11T00:00:00"/>
    <s v="KFC"/>
    <s v="Chicken Bucket"/>
    <n v="1"/>
    <n v="346"/>
    <s v="Delivered"/>
    <s v="Zomato"/>
    <n v="3"/>
    <s v="Cash"/>
    <n v="346"/>
  </r>
  <r>
    <n v="1091"/>
    <x v="90"/>
    <s v="Baroda"/>
    <d v="2025-06-03T00:00:00"/>
    <s v="Biryani House"/>
    <s v="Chicken Biryani"/>
    <n v="1"/>
    <n v="182"/>
    <s v="Cancelled"/>
    <s v="Swiggy"/>
    <s v="-"/>
    <s v="Online"/>
    <n v="182"/>
  </r>
  <r>
    <n v="1092"/>
    <x v="91"/>
    <s v="Surat"/>
    <d v="2025-06-06T00:00:00"/>
    <s v="Domino's Pizza"/>
    <s v="Veg Pizza"/>
    <n v="1"/>
    <n v="373"/>
    <s v="Delivered"/>
    <s v="Swiggy"/>
    <n v="5"/>
    <s v="Online"/>
    <n v="373"/>
  </r>
  <r>
    <n v="1093"/>
    <x v="92"/>
    <s v="Rajkot"/>
    <d v="2025-06-05T00:00:00"/>
    <s v="Burger King"/>
    <s v="Chicken Whopper"/>
    <n v="2"/>
    <n v="277"/>
    <s v="Delivered"/>
    <s v="Swiggy"/>
    <n v="4"/>
    <s v="Cash"/>
    <n v="554"/>
  </r>
  <r>
    <n v="1094"/>
    <x v="93"/>
    <s v="Surat"/>
    <d v="2025-06-09T00:00:00"/>
    <s v="McDonald's"/>
    <s v="McAloo Tikki"/>
    <n v="1"/>
    <n v="373"/>
    <s v="Delivered"/>
    <s v="Swiggy"/>
    <n v="4"/>
    <s v="Cash"/>
    <n v="373"/>
  </r>
  <r>
    <n v="1095"/>
    <x v="94"/>
    <s v="Ahmedabad"/>
    <d v="2025-06-03T00:00:00"/>
    <s v="McDonald's"/>
    <s v="McAloo Tikki"/>
    <n v="1"/>
    <n v="374"/>
    <s v="Delivered"/>
    <s v="Swiggy"/>
    <n v="3"/>
    <s v="Online"/>
    <n v="374"/>
  </r>
  <r>
    <n v="1096"/>
    <x v="95"/>
    <s v="Ahmedabad"/>
    <d v="2025-06-05T00:00:00"/>
    <s v="Biryani House"/>
    <s v="Chicken Biryani"/>
    <n v="3"/>
    <n v="311"/>
    <s v="Delivered"/>
    <s v="Swiggy"/>
    <n v="3"/>
    <s v="Cash"/>
    <n v="933"/>
  </r>
  <r>
    <n v="1097"/>
    <x v="96"/>
    <s v="Rajkot"/>
    <d v="2025-06-05T00:00:00"/>
    <s v="McDonald's"/>
    <s v="McAloo Tikki"/>
    <n v="3"/>
    <n v="387"/>
    <s v="Delivered"/>
    <s v="Zomato"/>
    <n v="4"/>
    <s v="Cash"/>
    <n v="1161"/>
  </r>
  <r>
    <n v="1098"/>
    <x v="97"/>
    <s v="Ahmedabad"/>
    <d v="2025-06-05T00:00:00"/>
    <s v="Domino's Pizza"/>
    <s v="Veg Pizza"/>
    <n v="2"/>
    <n v="282"/>
    <s v="Delivered"/>
    <s v="Zomato"/>
    <n v="4"/>
    <s v="Online"/>
    <n v="564"/>
  </r>
  <r>
    <n v="1099"/>
    <x v="98"/>
    <s v="Rajkot"/>
    <d v="2025-06-09T00:00:00"/>
    <s v="McDonald's"/>
    <s v="McAloo Tikki"/>
    <n v="3"/>
    <n v="491"/>
    <s v="Delivered"/>
    <s v="Zomato"/>
    <n v="3"/>
    <s v="Cash"/>
    <n v="1473"/>
  </r>
  <r>
    <n v="1100"/>
    <x v="99"/>
    <s v="Surat"/>
    <d v="2025-06-09T00:00:00"/>
    <s v="Domino's Pizza"/>
    <s v="Veg Pizza"/>
    <n v="1"/>
    <n v="446"/>
    <s v="Delivered"/>
    <s v="Zomato"/>
    <n v="5"/>
    <s v="Cash"/>
    <n v="44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001"/>
    <s v="Customer_1001"/>
    <s v="Rajkot"/>
    <d v="2025-06-02T00:00:00"/>
    <s v="Pizza Hut"/>
    <s v="Cheese Burst Pizza"/>
    <n v="3"/>
    <n v="357"/>
    <s v="Delivered"/>
    <n v="3"/>
    <s v="Cash"/>
    <n v="1071"/>
    <x v="0"/>
  </r>
  <r>
    <n v="1002"/>
    <s v="Customer_1002"/>
    <s v="Baroda"/>
    <d v="2025-06-07T00:00:00"/>
    <s v="Hocco Eatery"/>
    <s v="Pav Bhaji"/>
    <n v="1"/>
    <n v="411"/>
    <s v="Cancelled"/>
    <s v="-"/>
    <s v="Cash"/>
    <n v="411"/>
    <x v="1"/>
  </r>
  <r>
    <n v="1003"/>
    <s v="Customer_1003"/>
    <s v="Ahmedabad"/>
    <d v="2025-06-07T00:00:00"/>
    <s v="Burger King"/>
    <s v="Chicken Whopper"/>
    <n v="2"/>
    <n v="400"/>
    <s v="Delivered"/>
    <n v="4"/>
    <s v="Cash"/>
    <n v="800"/>
    <x v="0"/>
  </r>
  <r>
    <n v="1004"/>
    <s v="Customer_1004"/>
    <s v="Baroda"/>
    <d v="2025-06-01T00:00:00"/>
    <s v="Biryani House"/>
    <s v="Chicken Biryani"/>
    <n v="2"/>
    <n v="215"/>
    <s v="Delivered"/>
    <n v="4"/>
    <s v="Cash"/>
    <n v="430"/>
    <x v="0"/>
  </r>
  <r>
    <n v="1005"/>
    <s v="Customer_1005"/>
    <s v="Surat"/>
    <d v="2025-06-10T00:00:00"/>
    <s v="Pizza Hut"/>
    <s v="Cheese Burst Pizza"/>
    <n v="1"/>
    <n v="495"/>
    <s v="Delivered"/>
    <n v="3"/>
    <s v="Online"/>
    <n v="495"/>
    <x v="0"/>
  </r>
  <r>
    <n v="1006"/>
    <s v="Customer_1006"/>
    <s v="Surat"/>
    <d v="2025-06-10T00:00:00"/>
    <s v="Hocco Eatery"/>
    <s v="Pav Bhaji"/>
    <n v="2"/>
    <n v="364"/>
    <s v="Delivered"/>
    <n v="4"/>
    <s v="Cash"/>
    <n v="728"/>
    <x v="0"/>
  </r>
  <r>
    <n v="1007"/>
    <s v="Customer_1007"/>
    <s v="Surat"/>
    <d v="2025-06-04T00:00:00"/>
    <s v="McDonald's"/>
    <s v="McAloo Tikki"/>
    <n v="3"/>
    <n v="252"/>
    <s v="Delivered"/>
    <n v="3"/>
    <s v="Online"/>
    <n v="756"/>
    <x v="1"/>
  </r>
  <r>
    <n v="1008"/>
    <s v="Customer_1008"/>
    <s v="Rajkot"/>
    <d v="2025-06-10T00:00:00"/>
    <s v="Hocco Eatery"/>
    <s v="Pav Bhaji"/>
    <n v="3"/>
    <n v="221"/>
    <s v="Cancelled"/>
    <s v="-"/>
    <s v="Online"/>
    <n v="663"/>
    <x v="0"/>
  </r>
  <r>
    <n v="1009"/>
    <s v="Customer_1009"/>
    <s v="Surat"/>
    <d v="2025-06-04T00:00:00"/>
    <s v="Pizza Hut"/>
    <s v="Cheese Burst Pizza"/>
    <n v="1"/>
    <n v="253"/>
    <s v="Delivered"/>
    <n v="4"/>
    <s v="Online"/>
    <n v="253"/>
    <x v="1"/>
  </r>
  <r>
    <n v="1010"/>
    <s v="Customer_1010"/>
    <s v="Rajkot"/>
    <d v="2025-06-09T00:00:00"/>
    <s v="McDonald's"/>
    <s v="McAloo Tikki"/>
    <n v="3"/>
    <n v="315"/>
    <s v="Delivered"/>
    <n v="4"/>
    <s v="Online"/>
    <n v="945"/>
    <x v="0"/>
  </r>
  <r>
    <n v="1011"/>
    <s v="Customer_1011"/>
    <s v="Rajkot"/>
    <d v="2025-06-08T00:00:00"/>
    <s v="KFC"/>
    <s v="Chicken Bucket"/>
    <n v="2"/>
    <n v="198"/>
    <s v="Delivered"/>
    <n v="5"/>
    <s v="Cash"/>
    <n v="396"/>
    <x v="0"/>
  </r>
  <r>
    <n v="1012"/>
    <s v="Customer_1012"/>
    <s v="Rajkot"/>
    <d v="2025-06-07T00:00:00"/>
    <s v="Biryani House"/>
    <s v="Chicken Biryani"/>
    <n v="3"/>
    <n v="184"/>
    <s v="Delivered"/>
    <n v="4"/>
    <s v="Online"/>
    <n v="552"/>
    <x v="1"/>
  </r>
  <r>
    <n v="1013"/>
    <s v="Customer_1013"/>
    <s v="Baroda"/>
    <d v="2025-06-02T00:00:00"/>
    <s v="McDonald's"/>
    <s v="McAloo Tikki"/>
    <n v="2"/>
    <n v="354"/>
    <s v="Delivered"/>
    <n v="3"/>
    <s v="Online"/>
    <n v="708"/>
    <x v="1"/>
  </r>
  <r>
    <n v="1014"/>
    <s v="Customer_1014"/>
    <s v="Ahmedabad"/>
    <d v="2025-06-08T00:00:00"/>
    <s v="Domino's Pizza"/>
    <s v="Veg Pizza"/>
    <n v="2"/>
    <n v="281"/>
    <s v="Delivered"/>
    <n v="5"/>
    <s v="Online"/>
    <n v="562"/>
    <x v="0"/>
  </r>
  <r>
    <n v="1015"/>
    <s v="Customer_1015"/>
    <s v="Baroda"/>
    <d v="2025-06-08T00:00:00"/>
    <s v="Pizza Hut"/>
    <s v="Cheese Burst Pizza"/>
    <n v="3"/>
    <n v="138"/>
    <s v="Delivered"/>
    <n v="3"/>
    <s v="Cash"/>
    <n v="414"/>
    <x v="1"/>
  </r>
  <r>
    <n v="1016"/>
    <s v="Customer_1016"/>
    <s v="Ahmedabad"/>
    <d v="2025-06-01T00:00:00"/>
    <s v="KFC"/>
    <s v="Chicken Bucket"/>
    <n v="2"/>
    <n v="203"/>
    <s v="Delivered"/>
    <n v="3"/>
    <s v="Online"/>
    <n v="406"/>
    <x v="0"/>
  </r>
  <r>
    <n v="1017"/>
    <s v="Customer_1017"/>
    <s v="Ahmedabad"/>
    <d v="2025-06-07T00:00:00"/>
    <s v="McDonald's"/>
    <s v="McAloo Tikki"/>
    <n v="3"/>
    <n v="202"/>
    <s v="Delivered"/>
    <n v="5"/>
    <s v="Cash"/>
    <n v="606"/>
    <x v="0"/>
  </r>
  <r>
    <n v="1018"/>
    <s v="Customer_1018"/>
    <s v="Surat"/>
    <d v="2025-06-11T00:00:00"/>
    <s v="Hocco Eatery"/>
    <s v="Pav Bhaji"/>
    <n v="1"/>
    <n v="302"/>
    <s v="Delivered"/>
    <n v="3"/>
    <s v="Cash"/>
    <n v="302"/>
    <x v="0"/>
  </r>
  <r>
    <n v="1019"/>
    <s v="Customer_1019"/>
    <s v="Rajkot"/>
    <d v="2025-06-02T00:00:00"/>
    <s v="Biryani House"/>
    <s v="Chicken Biryani"/>
    <n v="3"/>
    <n v="407"/>
    <s v="Delivered"/>
    <n v="3"/>
    <s v="Online"/>
    <n v="1221"/>
    <x v="0"/>
  </r>
  <r>
    <n v="1020"/>
    <s v="Customer_1020"/>
    <s v="Ahmedabad"/>
    <d v="2025-06-11T00:00:00"/>
    <s v="McDonald's"/>
    <s v="McAloo Tikki"/>
    <n v="1"/>
    <n v="347"/>
    <s v="Delivered"/>
    <n v="5"/>
    <s v="Online"/>
    <n v="347"/>
    <x v="0"/>
  </r>
  <r>
    <n v="1021"/>
    <s v="Customer_1021"/>
    <s v="Ahmedabad"/>
    <d v="2025-06-09T00:00:00"/>
    <s v="Hocco Eatery"/>
    <s v="Pav Bhaji"/>
    <n v="3"/>
    <n v="450"/>
    <s v="Delivered"/>
    <n v="5"/>
    <s v="Cash"/>
    <n v="1350"/>
    <x v="1"/>
  </r>
  <r>
    <n v="1022"/>
    <s v="Customer_1022"/>
    <s v="Ahmedabad"/>
    <d v="2025-06-02T00:00:00"/>
    <s v="KFC"/>
    <s v="Chicken Bucket"/>
    <n v="1"/>
    <n v="180"/>
    <s v="Delivered"/>
    <n v="3"/>
    <s v="Online"/>
    <n v="180"/>
    <x v="0"/>
  </r>
  <r>
    <n v="1023"/>
    <s v="Customer_1023"/>
    <s v="Rajkot"/>
    <d v="2025-06-11T00:00:00"/>
    <s v="McDonald's"/>
    <s v="McAloo Tikki"/>
    <n v="2"/>
    <n v="484"/>
    <s v="Delivered"/>
    <n v="4"/>
    <s v="Cash"/>
    <n v="968"/>
    <x v="0"/>
  </r>
  <r>
    <n v="1024"/>
    <s v="Customer_1024"/>
    <s v="Rajkot"/>
    <d v="2025-06-08T00:00:00"/>
    <s v="McDonald's"/>
    <s v="McAloo Tikki"/>
    <n v="1"/>
    <n v="329"/>
    <s v="Delivered"/>
    <n v="4"/>
    <s v="Cash"/>
    <n v="329"/>
    <x v="0"/>
  </r>
  <r>
    <n v="1025"/>
    <s v="Customer_1025"/>
    <s v="Baroda"/>
    <d v="2025-06-03T00:00:00"/>
    <s v="Hocco Eatery"/>
    <s v="Pav Bhaji"/>
    <n v="1"/>
    <n v="239"/>
    <s v="Delivered"/>
    <n v="4"/>
    <s v="Online"/>
    <n v="239"/>
    <x v="0"/>
  </r>
  <r>
    <n v="1026"/>
    <s v="Customer_1026"/>
    <s v="Ahmedabad"/>
    <d v="2025-06-02T00:00:00"/>
    <s v="Hocco Eatery"/>
    <s v="Pav Bhaji"/>
    <n v="3"/>
    <n v="338"/>
    <s v="Cancelled"/>
    <s v="-"/>
    <s v="Online"/>
    <n v="1014"/>
    <x v="1"/>
  </r>
  <r>
    <n v="1027"/>
    <s v="Customer_1027"/>
    <s v="Baroda"/>
    <d v="2025-06-11T00:00:00"/>
    <s v="Domino's Pizza"/>
    <s v="Veg Pizza"/>
    <n v="1"/>
    <n v="258"/>
    <s v="Delivered"/>
    <n v="5"/>
    <s v="Cash"/>
    <n v="258"/>
    <x v="0"/>
  </r>
  <r>
    <n v="1028"/>
    <s v="Customer_1028"/>
    <s v="Surat"/>
    <d v="2025-06-02T00:00:00"/>
    <s v="KFC"/>
    <s v="Chicken Bucket"/>
    <n v="2"/>
    <n v="208"/>
    <s v="Delivered"/>
    <n v="3"/>
    <s v="Online"/>
    <n v="416"/>
    <x v="1"/>
  </r>
  <r>
    <n v="1029"/>
    <s v="Customer_1029"/>
    <s v="Surat"/>
    <d v="2025-06-04T00:00:00"/>
    <s v="McDonald's"/>
    <s v="McAloo Tikki"/>
    <n v="2"/>
    <n v="208"/>
    <s v="Delivered"/>
    <n v="4"/>
    <s v="Online"/>
    <n v="416"/>
    <x v="0"/>
  </r>
  <r>
    <n v="1030"/>
    <s v="Customer_1030"/>
    <s v="Rajkot"/>
    <d v="2025-06-11T00:00:00"/>
    <s v="Hocco Eatery"/>
    <s v="Pav Bhaji"/>
    <n v="1"/>
    <n v="339"/>
    <s v="Delivered"/>
    <n v="5"/>
    <s v="Cash"/>
    <n v="339"/>
    <x v="0"/>
  </r>
  <r>
    <n v="1031"/>
    <s v="Customer_1031"/>
    <s v="Ahmedabad"/>
    <d v="2025-06-08T00:00:00"/>
    <s v="McDonald's"/>
    <s v="McAloo Tikki"/>
    <n v="1"/>
    <n v="452"/>
    <s v="Delivered"/>
    <n v="5"/>
    <s v="Cash"/>
    <n v="452"/>
    <x v="1"/>
  </r>
  <r>
    <n v="1032"/>
    <s v="Customer_1032"/>
    <s v="Baroda"/>
    <d v="2025-06-08T00:00:00"/>
    <s v="Burger King"/>
    <s v="Chicken Whopper"/>
    <n v="3"/>
    <n v="455"/>
    <s v="Delivered"/>
    <n v="3"/>
    <s v="Cash"/>
    <n v="1365"/>
    <x v="1"/>
  </r>
  <r>
    <n v="1033"/>
    <s v="Customer_1033"/>
    <s v="Baroda"/>
    <d v="2025-06-11T00:00:00"/>
    <s v="Pizza Hut"/>
    <s v="Cheese Burst Pizza"/>
    <n v="3"/>
    <n v="334"/>
    <s v="Delivered"/>
    <n v="3"/>
    <s v="Cash"/>
    <n v="1002"/>
    <x v="1"/>
  </r>
  <r>
    <n v="1034"/>
    <s v="Customer_1034"/>
    <s v="Baroda"/>
    <d v="2025-06-07T00:00:00"/>
    <s v="Biryani House"/>
    <s v="Chicken Biryani"/>
    <n v="1"/>
    <n v="168"/>
    <s v="Delivered"/>
    <n v="4"/>
    <s v="Cash"/>
    <n v="168"/>
    <x v="1"/>
  </r>
  <r>
    <n v="1035"/>
    <s v="Customer_1035"/>
    <s v="Baroda"/>
    <d v="2025-06-08T00:00:00"/>
    <s v="Biryani House"/>
    <s v="Chicken Biryani"/>
    <n v="3"/>
    <n v="374"/>
    <s v="Delivered"/>
    <n v="3"/>
    <s v="Cash"/>
    <n v="1122"/>
    <x v="1"/>
  </r>
  <r>
    <n v="1036"/>
    <s v="Customer_1036"/>
    <s v="Ahmedabad"/>
    <d v="2025-06-02T00:00:00"/>
    <s v="Pizza Hut"/>
    <s v="Cheese Burst Pizza"/>
    <n v="1"/>
    <n v="234"/>
    <s v="Delivered"/>
    <n v="3"/>
    <s v="Online"/>
    <n v="234"/>
    <x v="1"/>
  </r>
  <r>
    <n v="1037"/>
    <s v="Customer_1037"/>
    <s v="Surat"/>
    <d v="2025-06-01T00:00:00"/>
    <s v="Hocco Eatery"/>
    <s v="Pav Bhaji"/>
    <n v="3"/>
    <n v="180"/>
    <s v="Delivered"/>
    <n v="4"/>
    <s v="Online"/>
    <n v="540"/>
    <x v="0"/>
  </r>
  <r>
    <n v="1038"/>
    <s v="Customer_1038"/>
    <s v="Baroda"/>
    <d v="2025-06-08T00:00:00"/>
    <s v="Burger King"/>
    <s v="Chicken Whopper"/>
    <n v="2"/>
    <n v="492"/>
    <s v="Delivered"/>
    <n v="4"/>
    <s v="Cash"/>
    <n v="984"/>
    <x v="0"/>
  </r>
  <r>
    <n v="1039"/>
    <s v="Customer_1039"/>
    <s v="Rajkot"/>
    <d v="2025-06-01T00:00:00"/>
    <s v="Burger King"/>
    <s v="Chicken Whopper"/>
    <n v="2"/>
    <n v="429"/>
    <s v="Delivered"/>
    <n v="5"/>
    <s v="Cash"/>
    <n v="858"/>
    <x v="0"/>
  </r>
  <r>
    <n v="1040"/>
    <s v="Customer_1040"/>
    <s v="Baroda"/>
    <d v="2025-06-01T00:00:00"/>
    <s v="Biryani House"/>
    <s v="Chicken Biryani"/>
    <n v="3"/>
    <n v="368"/>
    <s v="Delivered"/>
    <n v="3"/>
    <s v="Cash"/>
    <n v="1104"/>
    <x v="0"/>
  </r>
  <r>
    <n v="1041"/>
    <s v="Customer_1041"/>
    <s v="Ahmedabad"/>
    <d v="2025-06-05T00:00:00"/>
    <s v="Burger King"/>
    <s v="Chicken Whopper"/>
    <n v="3"/>
    <n v="474"/>
    <s v="Delivered"/>
    <n v="3"/>
    <s v="Online"/>
    <n v="1422"/>
    <x v="0"/>
  </r>
  <r>
    <n v="1042"/>
    <s v="Customer_1042"/>
    <s v="Baroda"/>
    <d v="2025-06-05T00:00:00"/>
    <s v="Burger King"/>
    <s v="Chicken Whopper"/>
    <n v="3"/>
    <n v="178"/>
    <s v="Delivered"/>
    <n v="4"/>
    <s v="Cash"/>
    <n v="534"/>
    <x v="0"/>
  </r>
  <r>
    <n v="1043"/>
    <s v="Customer_1043"/>
    <s v="Ahmedabad"/>
    <d v="2025-06-03T00:00:00"/>
    <s v="Pizza Hut"/>
    <s v="Cheese Burst Pizza"/>
    <n v="3"/>
    <n v="218"/>
    <s v="Delivered"/>
    <n v="4"/>
    <s v="Cash"/>
    <n v="654"/>
    <x v="1"/>
  </r>
  <r>
    <n v="1044"/>
    <s v="Customer_1044"/>
    <s v="Rajkot"/>
    <d v="2025-06-06T00:00:00"/>
    <s v="McDonald's"/>
    <s v="McAloo Tikki"/>
    <n v="1"/>
    <n v="370"/>
    <s v="Delivered"/>
    <n v="4"/>
    <s v="Online"/>
    <n v="370"/>
    <x v="1"/>
  </r>
  <r>
    <n v="1045"/>
    <s v="Customer_1045"/>
    <s v="Surat"/>
    <d v="2025-06-01T00:00:00"/>
    <s v="Hocco Eatery"/>
    <s v="Pav Bhaji"/>
    <n v="3"/>
    <n v="209"/>
    <s v="Delivered"/>
    <n v="4"/>
    <s v="Online"/>
    <n v="627"/>
    <x v="1"/>
  </r>
  <r>
    <n v="1046"/>
    <s v="Customer_1046"/>
    <s v="Baroda"/>
    <d v="2025-06-01T00:00:00"/>
    <s v="Burger King"/>
    <s v="Chicken Whopper"/>
    <n v="1"/>
    <n v="381"/>
    <s v="Delivered"/>
    <n v="5"/>
    <s v="Cash"/>
    <n v="381"/>
    <x v="1"/>
  </r>
  <r>
    <n v="1047"/>
    <s v="Customer_1047"/>
    <s v="Surat"/>
    <d v="2025-06-01T00:00:00"/>
    <s v="Subway"/>
    <s v="Paneer Sub"/>
    <n v="1"/>
    <n v="354"/>
    <s v="Delivered"/>
    <n v="3"/>
    <s v="Online"/>
    <n v="354"/>
    <x v="0"/>
  </r>
  <r>
    <n v="1048"/>
    <s v="Customer_1048"/>
    <s v="Baroda"/>
    <d v="2025-06-08T00:00:00"/>
    <s v="McDonald's"/>
    <s v="McAloo Tikki"/>
    <n v="2"/>
    <n v="472"/>
    <s v="Delivered"/>
    <n v="5"/>
    <s v="Online"/>
    <n v="944"/>
    <x v="1"/>
  </r>
  <r>
    <n v="1049"/>
    <s v="Customer_1049"/>
    <s v="Rajkot"/>
    <d v="2025-06-08T00:00:00"/>
    <s v="Hocco Eatery"/>
    <s v="Pav Bhaji"/>
    <n v="1"/>
    <n v="309"/>
    <s v="Delivered"/>
    <n v="3"/>
    <s v="Online"/>
    <n v="309"/>
    <x v="0"/>
  </r>
  <r>
    <n v="1050"/>
    <s v="Customer_1050"/>
    <s v="Surat"/>
    <d v="2025-06-05T00:00:00"/>
    <s v="Domino's Pizza"/>
    <s v="Veg Pizza"/>
    <n v="2"/>
    <n v="289"/>
    <s v="Delivered"/>
    <n v="5"/>
    <s v="Cash"/>
    <n v="578"/>
    <x v="0"/>
  </r>
  <r>
    <n v="1051"/>
    <s v="Customer_1051"/>
    <s v="Ahmedabad"/>
    <d v="2025-06-09T00:00:00"/>
    <s v="Pizza Hut"/>
    <s v="Cheese Burst Pizza"/>
    <n v="1"/>
    <n v="383"/>
    <s v="Delivered"/>
    <n v="3"/>
    <s v="Online"/>
    <n v="383"/>
    <x v="0"/>
  </r>
  <r>
    <n v="1052"/>
    <s v="Customer_1052"/>
    <s v="Rajkot"/>
    <d v="2025-06-02T00:00:00"/>
    <s v="Biryani House"/>
    <s v="Chicken Biryani"/>
    <n v="3"/>
    <n v="185"/>
    <s v="Delivered"/>
    <n v="4"/>
    <s v="Cash"/>
    <n v="555"/>
    <x v="1"/>
  </r>
  <r>
    <n v="1053"/>
    <s v="Customer_1053"/>
    <s v="Rajkot"/>
    <d v="2025-06-03T00:00:00"/>
    <s v="KFC"/>
    <s v="Chicken Bucket"/>
    <n v="3"/>
    <n v="357"/>
    <s v="Delivered"/>
    <n v="4"/>
    <s v="Online"/>
    <n v="1071"/>
    <x v="1"/>
  </r>
  <r>
    <n v="1054"/>
    <s v="Customer_1054"/>
    <s v="Baroda"/>
    <d v="2025-06-05T00:00:00"/>
    <s v="Biryani House"/>
    <s v="Chicken Biryani"/>
    <n v="1"/>
    <n v="395"/>
    <s v="Delivered"/>
    <n v="4"/>
    <s v="Online"/>
    <n v="395"/>
    <x v="0"/>
  </r>
  <r>
    <n v="1055"/>
    <s v="Customer_1055"/>
    <s v="Surat"/>
    <d v="2025-06-05T00:00:00"/>
    <s v="Hocco Eatery"/>
    <s v="Pav Bhaji"/>
    <n v="3"/>
    <n v="461"/>
    <s v="Delivered"/>
    <n v="5"/>
    <s v="Online"/>
    <n v="1383"/>
    <x v="0"/>
  </r>
  <r>
    <n v="1056"/>
    <s v="Customer_1056"/>
    <s v="Baroda"/>
    <d v="2025-06-09T00:00:00"/>
    <s v="Domino's Pizza"/>
    <s v="Veg Pizza"/>
    <n v="2"/>
    <n v="415"/>
    <s v="Delivered"/>
    <n v="5"/>
    <s v="Online"/>
    <n v="830"/>
    <x v="1"/>
  </r>
  <r>
    <n v="1057"/>
    <s v="Customer_1057"/>
    <s v="Surat"/>
    <d v="2025-06-08T00:00:00"/>
    <s v="Domino's Pizza"/>
    <s v="Veg Pizza"/>
    <n v="2"/>
    <n v="479"/>
    <s v="Cancelled"/>
    <s v="-"/>
    <s v="Online"/>
    <n v="958"/>
    <x v="0"/>
  </r>
  <r>
    <n v="1058"/>
    <s v="Customer_1058"/>
    <s v="Ahmedabad"/>
    <d v="2025-06-11T00:00:00"/>
    <s v="KFC"/>
    <s v="Chicken Bucket"/>
    <n v="1"/>
    <n v="254"/>
    <s v="Delivered"/>
    <n v="5"/>
    <s v="Online"/>
    <n v="254"/>
    <x v="0"/>
  </r>
  <r>
    <n v="1059"/>
    <s v="Customer_1059"/>
    <s v="Rajkot"/>
    <d v="2025-06-09T00:00:00"/>
    <s v="KFC"/>
    <s v="Chicken Bucket"/>
    <n v="2"/>
    <n v="491"/>
    <s v="Cancelled"/>
    <s v="-"/>
    <s v="Online"/>
    <n v="982"/>
    <x v="1"/>
  </r>
  <r>
    <n v="1060"/>
    <s v="Customer_1060"/>
    <s v="Surat"/>
    <d v="2025-06-07T00:00:00"/>
    <s v="Burger King"/>
    <s v="Chicken Whopper"/>
    <n v="2"/>
    <n v="348"/>
    <s v="Cancelled"/>
    <s v="-"/>
    <s v="Online"/>
    <n v="696"/>
    <x v="0"/>
  </r>
  <r>
    <n v="1061"/>
    <s v="Customer_1061"/>
    <s v="Surat"/>
    <d v="2025-06-08T00:00:00"/>
    <s v="KFC"/>
    <s v="Chicken Bucket"/>
    <n v="1"/>
    <n v="461"/>
    <s v="Delivered"/>
    <n v="5"/>
    <s v="Cash"/>
    <n v="461"/>
    <x v="1"/>
  </r>
  <r>
    <n v="1062"/>
    <s v="Customer_1062"/>
    <s v="Rajkot"/>
    <d v="2025-06-06T00:00:00"/>
    <s v="Biryani House"/>
    <s v="Chicken Biryani"/>
    <n v="3"/>
    <n v="324"/>
    <s v="Delivered"/>
    <n v="5"/>
    <s v="Cash"/>
    <n v="972"/>
    <x v="1"/>
  </r>
  <r>
    <n v="1063"/>
    <s v="Customer_1063"/>
    <s v="Baroda"/>
    <d v="2025-06-03T00:00:00"/>
    <s v="Subway"/>
    <s v="Paneer Sub"/>
    <n v="1"/>
    <n v="241"/>
    <s v="Delivered"/>
    <n v="3"/>
    <s v="Online"/>
    <n v="241"/>
    <x v="0"/>
  </r>
  <r>
    <n v="1064"/>
    <s v="Customer_1064"/>
    <s v="Surat"/>
    <d v="2025-06-06T00:00:00"/>
    <s v="KFC"/>
    <s v="Chicken Bucket"/>
    <n v="1"/>
    <n v="456"/>
    <s v="Delivered"/>
    <n v="3"/>
    <s v="Online"/>
    <n v="456"/>
    <x v="1"/>
  </r>
  <r>
    <n v="1065"/>
    <s v="Customer_1065"/>
    <s v="Baroda"/>
    <d v="2025-06-08T00:00:00"/>
    <s v="Biryani House"/>
    <s v="Chicken Biryani"/>
    <n v="3"/>
    <n v="457"/>
    <s v="Delivered"/>
    <n v="3"/>
    <s v="Cash"/>
    <n v="1371"/>
    <x v="0"/>
  </r>
  <r>
    <n v="1066"/>
    <s v="Customer_1066"/>
    <s v="Baroda"/>
    <d v="2025-06-07T00:00:00"/>
    <s v="Biryani House"/>
    <s v="Chicken Biryani"/>
    <n v="2"/>
    <n v="477"/>
    <s v="Delivered"/>
    <n v="3"/>
    <s v="Online"/>
    <n v="954"/>
    <x v="0"/>
  </r>
  <r>
    <n v="1067"/>
    <s v="Customer_1067"/>
    <s v="Rajkot"/>
    <d v="2025-06-02T00:00:00"/>
    <s v="Pizza Hut"/>
    <s v="Cheese Burst Pizza"/>
    <n v="3"/>
    <n v="483"/>
    <s v="Delivered"/>
    <n v="5"/>
    <s v="Online"/>
    <n v="1449"/>
    <x v="0"/>
  </r>
  <r>
    <n v="1068"/>
    <s v="Customer_1068"/>
    <s v="Rajkot"/>
    <d v="2025-06-06T00:00:00"/>
    <s v="Domino's Pizza"/>
    <s v="Veg Pizza"/>
    <n v="2"/>
    <n v="257"/>
    <s v="Delivered"/>
    <n v="4"/>
    <s v="Online"/>
    <n v="514"/>
    <x v="0"/>
  </r>
  <r>
    <n v="1069"/>
    <s v="Customer_1069"/>
    <s v="Baroda"/>
    <d v="2025-06-09T00:00:00"/>
    <s v="Hocco Eatery"/>
    <s v="Pav Bhaji"/>
    <n v="1"/>
    <n v="164"/>
    <s v="Delivered"/>
    <n v="3"/>
    <s v="Cash"/>
    <n v="164"/>
    <x v="0"/>
  </r>
  <r>
    <n v="1070"/>
    <s v="Customer_1070"/>
    <s v="Ahmedabad"/>
    <d v="2025-06-04T00:00:00"/>
    <s v="Biryani House"/>
    <s v="Chicken Biryani"/>
    <n v="2"/>
    <n v="233"/>
    <s v="Delivered"/>
    <n v="5"/>
    <s v="Cash"/>
    <n v="466"/>
    <x v="0"/>
  </r>
  <r>
    <n v="1071"/>
    <s v="Customer_1071"/>
    <s v="Ahmedabad"/>
    <d v="2025-06-03T00:00:00"/>
    <s v="Subway"/>
    <s v="Paneer Sub"/>
    <n v="3"/>
    <n v="457"/>
    <s v="Delivered"/>
    <n v="4"/>
    <s v="Cash"/>
    <n v="1371"/>
    <x v="1"/>
  </r>
  <r>
    <n v="1072"/>
    <s v="Customer_1072"/>
    <s v="Baroda"/>
    <d v="2025-06-01T00:00:00"/>
    <s v="Pizza Hut"/>
    <s v="Cheese Burst Pizza"/>
    <n v="1"/>
    <n v="458"/>
    <s v="Delivered"/>
    <n v="4"/>
    <s v="Online"/>
    <n v="458"/>
    <x v="0"/>
  </r>
  <r>
    <n v="1073"/>
    <s v="Customer_1073"/>
    <s v="Surat"/>
    <d v="2025-06-01T00:00:00"/>
    <s v="Domino's Pizza"/>
    <s v="Veg Pizza"/>
    <n v="1"/>
    <n v="326"/>
    <s v="Delivered"/>
    <n v="3"/>
    <s v="Cash"/>
    <n v="326"/>
    <x v="0"/>
  </r>
  <r>
    <n v="1074"/>
    <s v="Customer_1074"/>
    <s v="Rajkot"/>
    <d v="2025-06-02T00:00:00"/>
    <s v="Hocco Eatery"/>
    <s v="Pav Bhaji"/>
    <n v="3"/>
    <n v="135"/>
    <s v="Cancelled"/>
    <s v="-"/>
    <s v="Cash"/>
    <n v="405"/>
    <x v="0"/>
  </r>
  <r>
    <n v="1075"/>
    <s v="Customer_1075"/>
    <s v="Baroda"/>
    <d v="2025-06-01T00:00:00"/>
    <s v="Subway"/>
    <s v="Paneer Sub"/>
    <n v="3"/>
    <n v="491"/>
    <s v="Delivered"/>
    <n v="5"/>
    <s v="Cash"/>
    <n v="1473"/>
    <x v="1"/>
  </r>
  <r>
    <n v="1076"/>
    <s v="Customer_1076"/>
    <s v="Ahmedabad"/>
    <d v="2025-06-02T00:00:00"/>
    <s v="Domino's Pizza"/>
    <s v="Veg Pizza"/>
    <n v="2"/>
    <n v="362"/>
    <s v="Delivered"/>
    <n v="5"/>
    <s v="Cash"/>
    <n v="724"/>
    <x v="0"/>
  </r>
  <r>
    <n v="1077"/>
    <s v="Customer_1077"/>
    <s v="Ahmedabad"/>
    <d v="2025-06-03T00:00:00"/>
    <s v="KFC"/>
    <s v="Chicken Bucket"/>
    <n v="1"/>
    <n v="461"/>
    <s v="Delivered"/>
    <n v="3"/>
    <s v="Cash"/>
    <n v="461"/>
    <x v="1"/>
  </r>
  <r>
    <n v="1078"/>
    <s v="Customer_1078"/>
    <s v="Rajkot"/>
    <d v="2025-06-10T00:00:00"/>
    <s v="Subway"/>
    <s v="Paneer Sub"/>
    <n v="3"/>
    <n v="232"/>
    <s v="Delivered"/>
    <n v="4"/>
    <s v="Online"/>
    <n v="696"/>
    <x v="1"/>
  </r>
  <r>
    <n v="1079"/>
    <s v="Customer_1079"/>
    <s v="Rajkot"/>
    <d v="2025-06-03T00:00:00"/>
    <s v="Subway"/>
    <s v="Paneer Sub"/>
    <n v="1"/>
    <n v="218"/>
    <s v="Delivered"/>
    <n v="4"/>
    <s v="Online"/>
    <n v="218"/>
    <x v="0"/>
  </r>
  <r>
    <n v="1080"/>
    <s v="Customer_1080"/>
    <s v="Ahmedabad"/>
    <d v="2025-06-06T00:00:00"/>
    <s v="Pizza Hut"/>
    <s v="Cheese Burst Pizza"/>
    <n v="1"/>
    <n v="441"/>
    <s v="Delivered"/>
    <n v="3"/>
    <s v="Cash"/>
    <n v="441"/>
    <x v="0"/>
  </r>
  <r>
    <n v="1081"/>
    <s v="Customer_1081"/>
    <s v="Baroda"/>
    <d v="2025-06-10T00:00:00"/>
    <s v="Pizza Hut"/>
    <s v="Cheese Burst Pizza"/>
    <n v="1"/>
    <n v="135"/>
    <s v="Cancelled"/>
    <s v="-"/>
    <s v="Online"/>
    <n v="135"/>
    <x v="0"/>
  </r>
  <r>
    <n v="1082"/>
    <s v="Customer_1082"/>
    <s v="Ahmedabad"/>
    <d v="2025-06-07T00:00:00"/>
    <s v="Pizza Hut"/>
    <s v="Cheese Burst Pizza"/>
    <n v="2"/>
    <n v="215"/>
    <s v="Delivered"/>
    <n v="5"/>
    <s v="Online"/>
    <n v="430"/>
    <x v="0"/>
  </r>
  <r>
    <n v="1083"/>
    <s v="Customer_1083"/>
    <s v="Ahmedabad"/>
    <d v="2025-06-05T00:00:00"/>
    <s v="Burger King"/>
    <s v="Chicken Whopper"/>
    <n v="2"/>
    <n v="368"/>
    <s v="Cancelled"/>
    <s v="-"/>
    <s v="Cash"/>
    <n v="736"/>
    <x v="0"/>
  </r>
  <r>
    <n v="1084"/>
    <s v="Customer_1084"/>
    <s v="Rajkot"/>
    <d v="2025-06-05T00:00:00"/>
    <s v="McDonald's"/>
    <s v="McAloo Tikki"/>
    <n v="3"/>
    <n v="151"/>
    <s v="Delivered"/>
    <n v="4"/>
    <s v="Online"/>
    <n v="453"/>
    <x v="1"/>
  </r>
  <r>
    <n v="1085"/>
    <s v="Customer_1085"/>
    <s v="Surat"/>
    <d v="2025-06-03T00:00:00"/>
    <s v="McDonald's"/>
    <s v="McAloo Tikki"/>
    <n v="1"/>
    <n v="219"/>
    <s v="Delivered"/>
    <n v="4"/>
    <s v="Online"/>
    <n v="219"/>
    <x v="0"/>
  </r>
  <r>
    <n v="1086"/>
    <s v="Customer_1086"/>
    <s v="Rajkot"/>
    <d v="2025-06-06T00:00:00"/>
    <s v="Subway"/>
    <s v="Paneer Sub"/>
    <n v="2"/>
    <n v="261"/>
    <s v="Delivered"/>
    <n v="3"/>
    <s v="Cash"/>
    <n v="522"/>
    <x v="0"/>
  </r>
  <r>
    <n v="1087"/>
    <s v="Customer_1087"/>
    <s v="Baroda"/>
    <d v="2025-06-11T00:00:00"/>
    <s v="Hocco Eatery"/>
    <s v="Pav Bhaji"/>
    <n v="2"/>
    <n v="217"/>
    <s v="Delivered"/>
    <n v="5"/>
    <s v="Online"/>
    <n v="434"/>
    <x v="1"/>
  </r>
  <r>
    <n v="1088"/>
    <s v="Customer_1088"/>
    <s v="Ahmedabad"/>
    <d v="2025-06-02T00:00:00"/>
    <s v="Hocco Eatery"/>
    <s v="Pav Bhaji"/>
    <n v="2"/>
    <n v="259"/>
    <s v="Delivered"/>
    <n v="3"/>
    <s v="Online"/>
    <n v="518"/>
    <x v="0"/>
  </r>
  <r>
    <n v="1089"/>
    <s v="Customer_1089"/>
    <s v="Baroda"/>
    <d v="2025-06-10T00:00:00"/>
    <s v="Biryani House"/>
    <s v="Chicken Biryani"/>
    <n v="3"/>
    <n v="246"/>
    <s v="Delivered"/>
    <n v="4"/>
    <s v="Cash"/>
    <n v="738"/>
    <x v="0"/>
  </r>
  <r>
    <n v="1090"/>
    <s v="Customer_1090"/>
    <s v="Ahmedabad"/>
    <d v="2025-06-11T00:00:00"/>
    <s v="KFC"/>
    <s v="Chicken Bucket"/>
    <n v="1"/>
    <n v="346"/>
    <s v="Delivered"/>
    <n v="3"/>
    <s v="Cash"/>
    <n v="346"/>
    <x v="1"/>
  </r>
  <r>
    <n v="1091"/>
    <s v="Customer_1091"/>
    <s v="Baroda"/>
    <d v="2025-06-03T00:00:00"/>
    <s v="Biryani House"/>
    <s v="Chicken Biryani"/>
    <n v="1"/>
    <n v="182"/>
    <s v="Cancelled"/>
    <s v="-"/>
    <s v="Online"/>
    <n v="182"/>
    <x v="0"/>
  </r>
  <r>
    <n v="1092"/>
    <s v="Customer_1092"/>
    <s v="Surat"/>
    <d v="2025-06-06T00:00:00"/>
    <s v="Domino's Pizza"/>
    <s v="Veg Pizza"/>
    <n v="1"/>
    <n v="373"/>
    <s v="Delivered"/>
    <n v="5"/>
    <s v="Online"/>
    <n v="373"/>
    <x v="0"/>
  </r>
  <r>
    <n v="1093"/>
    <s v="Customer_1093"/>
    <s v="Rajkot"/>
    <d v="2025-06-05T00:00:00"/>
    <s v="Burger King"/>
    <s v="Chicken Whopper"/>
    <n v="2"/>
    <n v="277"/>
    <s v="Delivered"/>
    <n v="4"/>
    <s v="Cash"/>
    <n v="554"/>
    <x v="0"/>
  </r>
  <r>
    <n v="1094"/>
    <s v="Customer_1094"/>
    <s v="Surat"/>
    <d v="2025-06-09T00:00:00"/>
    <s v="McDonald's"/>
    <s v="McAloo Tikki"/>
    <n v="1"/>
    <n v="373"/>
    <s v="Delivered"/>
    <n v="4"/>
    <s v="Cash"/>
    <n v="373"/>
    <x v="0"/>
  </r>
  <r>
    <n v="1095"/>
    <s v="Customer_1095"/>
    <s v="Ahmedabad"/>
    <d v="2025-06-03T00:00:00"/>
    <s v="McDonald's"/>
    <s v="McAloo Tikki"/>
    <n v="1"/>
    <n v="374"/>
    <s v="Delivered"/>
    <n v="3"/>
    <s v="Online"/>
    <n v="374"/>
    <x v="0"/>
  </r>
  <r>
    <n v="1096"/>
    <s v="Customer_1096"/>
    <s v="Ahmedabad"/>
    <d v="2025-06-05T00:00:00"/>
    <s v="Biryani House"/>
    <s v="Chicken Biryani"/>
    <n v="3"/>
    <n v="311"/>
    <s v="Delivered"/>
    <n v="3"/>
    <s v="Cash"/>
    <n v="933"/>
    <x v="0"/>
  </r>
  <r>
    <n v="1097"/>
    <s v="Customer_1097"/>
    <s v="Rajkot"/>
    <d v="2025-06-05T00:00:00"/>
    <s v="McDonald's"/>
    <s v="McAloo Tikki"/>
    <n v="3"/>
    <n v="387"/>
    <s v="Delivered"/>
    <n v="4"/>
    <s v="Cash"/>
    <n v="1161"/>
    <x v="1"/>
  </r>
  <r>
    <n v="1098"/>
    <s v="Customer_1098"/>
    <s v="Ahmedabad"/>
    <d v="2025-06-05T00:00:00"/>
    <s v="Domino's Pizza"/>
    <s v="Veg Pizza"/>
    <n v="2"/>
    <n v="282"/>
    <s v="Delivered"/>
    <n v="4"/>
    <s v="Online"/>
    <n v="564"/>
    <x v="1"/>
  </r>
  <r>
    <n v="1099"/>
    <s v="Customer_1099"/>
    <s v="Rajkot"/>
    <d v="2025-06-09T00:00:00"/>
    <s v="McDonald's"/>
    <s v="McAloo Tikki"/>
    <n v="3"/>
    <n v="491"/>
    <s v="Delivered"/>
    <n v="3"/>
    <s v="Cash"/>
    <n v="1473"/>
    <x v="1"/>
  </r>
  <r>
    <n v="1100"/>
    <s v="Customer_1100"/>
    <s v="Surat"/>
    <d v="2025-06-09T00:00:00"/>
    <s v="Domino's Pizza"/>
    <s v="Veg Pizza"/>
    <n v="1"/>
    <n v="446"/>
    <s v="Delivered"/>
    <n v="5"/>
    <s v="Cash"/>
    <n v="446"/>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70B7B2-3D6E-43CF-8BC5-9A09CD1B28DA}" name="PivotTable1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T27:U30" firstHeaderRow="1" firstDataRow="1" firstDataCol="1"/>
  <pivotFields count="13">
    <pivotField dataField="1" showAll="0"/>
    <pivotField showAll="0"/>
    <pivotField showAll="0"/>
    <pivotField numFmtId="164" showAll="0"/>
    <pivotField showAll="0"/>
    <pivotField showAll="0"/>
    <pivotField showAll="0"/>
    <pivotField showAll="0"/>
    <pivotField showAll="0"/>
    <pivotField showAll="0"/>
    <pivotField showAll="0"/>
    <pivotField showAll="0"/>
    <pivotField axis="axisRow" showAll="0">
      <items count="3">
        <item x="0"/>
        <item x="1"/>
        <item t="default"/>
      </items>
    </pivotField>
  </pivotFields>
  <rowFields count="1">
    <field x="12"/>
  </rowFields>
  <rowItems count="3">
    <i>
      <x/>
    </i>
    <i>
      <x v="1"/>
    </i>
    <i t="grand">
      <x/>
    </i>
  </rowItems>
  <colItems count="1">
    <i/>
  </colItems>
  <dataFields count="1">
    <dataField name="Count of Order_ID" fld="0" subtotal="count" baseField="12"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B2F8AD-833A-4773-BB32-AC849C807E68}"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P27:Q32" firstHeaderRow="1" firstDataRow="1" firstDataCol="1"/>
  <pivotFields count="12">
    <pivotField dataField="1" showAll="0"/>
    <pivotField showAll="0"/>
    <pivotField showAll="0">
      <items count="5">
        <item x="2"/>
        <item x="1"/>
        <item x="0"/>
        <item x="3"/>
        <item t="default"/>
      </items>
    </pivotField>
    <pivotField numFmtId="164" showAll="0">
      <items count="12">
        <item x="2"/>
        <item x="0"/>
        <item x="8"/>
        <item x="4"/>
        <item x="9"/>
        <item x="10"/>
        <item x="1"/>
        <item x="6"/>
        <item x="5"/>
        <item x="3"/>
        <item x="7"/>
        <item t="default"/>
      </items>
    </pivotField>
    <pivotField showAll="0">
      <items count="9">
        <item x="3"/>
        <item x="2"/>
        <item x="6"/>
        <item x="1"/>
        <item x="5"/>
        <item x="4"/>
        <item x="0"/>
        <item x="7"/>
        <item t="default"/>
      </items>
    </pivotField>
    <pivotField showAll="0"/>
    <pivotField showAll="0"/>
    <pivotField showAll="0"/>
    <pivotField showAll="0">
      <items count="3">
        <item x="1"/>
        <item x="0"/>
        <item t="default"/>
      </items>
    </pivotField>
    <pivotField showAll="0">
      <items count="8">
        <item x="2"/>
        <item x="3"/>
        <item x="4"/>
        <item x="0"/>
        <item x="5"/>
        <item x="1"/>
        <item x="6"/>
        <item t="default"/>
      </items>
    </pivotField>
    <pivotField axis="axisRow" showAll="0">
      <items count="5">
        <item x="0"/>
        <item x="2"/>
        <item x="3"/>
        <item x="1"/>
        <item t="default"/>
      </items>
    </pivotField>
    <pivotField showAll="0">
      <items count="3">
        <item x="0"/>
        <item x="1"/>
        <item t="default"/>
      </items>
    </pivotField>
  </pivotFields>
  <rowFields count="1">
    <field x="10"/>
  </rowFields>
  <rowItems count="5">
    <i>
      <x/>
    </i>
    <i>
      <x v="1"/>
    </i>
    <i>
      <x v="2"/>
    </i>
    <i>
      <x v="3"/>
    </i>
    <i t="grand">
      <x/>
    </i>
  </rowItems>
  <colItems count="1">
    <i/>
  </colItems>
  <dataFields count="1">
    <dataField name="Count of Order_ID" fld="0" subtotal="count" baseField="0" baseItem="0"/>
  </dataFields>
  <chartFormats count="5">
    <chartFormat chart="4" format="11" series="1">
      <pivotArea type="data" outline="0" fieldPosition="0">
        <references count="1">
          <reference field="4294967294" count="1" selected="0">
            <x v="0"/>
          </reference>
        </references>
      </pivotArea>
    </chartFormat>
    <chartFormat chart="4" format="12">
      <pivotArea type="data" outline="0" fieldPosition="0">
        <references count="2">
          <reference field="4294967294" count="1" selected="0">
            <x v="0"/>
          </reference>
          <reference field="10" count="1" selected="0">
            <x v="0"/>
          </reference>
        </references>
      </pivotArea>
    </chartFormat>
    <chartFormat chart="4" format="13">
      <pivotArea type="data" outline="0" fieldPosition="0">
        <references count="2">
          <reference field="4294967294" count="1" selected="0">
            <x v="0"/>
          </reference>
          <reference field="10" count="1" selected="0">
            <x v="1"/>
          </reference>
        </references>
      </pivotArea>
    </chartFormat>
    <chartFormat chart="4" format="14">
      <pivotArea type="data" outline="0" fieldPosition="0">
        <references count="2">
          <reference field="4294967294" count="1" selected="0">
            <x v="0"/>
          </reference>
          <reference field="10" count="1" selected="0">
            <x v="2"/>
          </reference>
        </references>
      </pivotArea>
    </chartFormat>
    <chartFormat chart="4" format="15">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filters count="1">
    <filter fld="3" type="dateBetween" evalOrder="-1" id="15" name="Order_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148BCB-5746-4E6D-A20E-DA1D3C2E87E5}"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2">
  <location ref="G15:H18" firstHeaderRow="1" firstDataRow="1" firstDataCol="1"/>
  <pivotFields count="12">
    <pivotField dataField="1" showAll="0"/>
    <pivotField showAll="0"/>
    <pivotField showAll="0">
      <items count="5">
        <item x="2"/>
        <item x="1"/>
        <item x="0"/>
        <item x="3"/>
        <item t="default"/>
      </items>
    </pivotField>
    <pivotField numFmtId="164" showAll="0">
      <items count="12">
        <item x="2"/>
        <item x="0"/>
        <item x="8"/>
        <item x="4"/>
        <item x="9"/>
        <item x="10"/>
        <item x="1"/>
        <item x="6"/>
        <item x="5"/>
        <item x="3"/>
        <item x="7"/>
        <item t="default"/>
      </items>
    </pivotField>
    <pivotField showAll="0">
      <items count="9">
        <item x="3"/>
        <item x="2"/>
        <item x="6"/>
        <item x="1"/>
        <item x="5"/>
        <item x="4"/>
        <item x="0"/>
        <item x="7"/>
        <item t="default"/>
      </items>
    </pivotField>
    <pivotField showAll="0">
      <items count="9">
        <item x="0"/>
        <item x="3"/>
        <item x="5"/>
        <item x="2"/>
        <item x="4"/>
        <item x="7"/>
        <item x="1"/>
        <item x="6"/>
        <item t="default"/>
      </items>
    </pivotField>
    <pivotField showAll="0"/>
    <pivotField showAll="0"/>
    <pivotField showAll="0">
      <items count="3">
        <item x="1"/>
        <item x="0"/>
        <item t="default"/>
      </items>
    </pivotField>
    <pivotField showAll="0"/>
    <pivotField showAll="0">
      <items count="5">
        <item x="0"/>
        <item x="2"/>
        <item x="3"/>
        <item x="1"/>
        <item t="default"/>
      </items>
    </pivotField>
    <pivotField axis="axisRow" showAll="0">
      <items count="3">
        <item x="0"/>
        <item x="1"/>
        <item t="default"/>
      </items>
    </pivotField>
  </pivotFields>
  <rowFields count="1">
    <field x="11"/>
  </rowFields>
  <rowItems count="3">
    <i>
      <x/>
    </i>
    <i>
      <x v="1"/>
    </i>
    <i t="grand">
      <x/>
    </i>
  </rowItems>
  <colItems count="1">
    <i/>
  </colItems>
  <dataFields count="1">
    <dataField name="Count of Order_ID" fld="0" subtotal="count" baseField="11" baseItem="0"/>
  </dataFields>
  <chartFormats count="3">
    <chartFormat chart="28" format="4" series="1">
      <pivotArea type="data" outline="0" fieldPosition="0">
        <references count="1">
          <reference field="4294967294" count="1" selected="0">
            <x v="0"/>
          </reference>
        </references>
      </pivotArea>
    </chartFormat>
    <chartFormat chart="28" format="5">
      <pivotArea type="data" outline="0" fieldPosition="0">
        <references count="2">
          <reference field="4294967294" count="1" selected="0">
            <x v="0"/>
          </reference>
          <reference field="11" count="1" selected="0">
            <x v="0"/>
          </reference>
        </references>
      </pivotArea>
    </chartFormat>
    <chartFormat chart="28" format="6">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filters count="1">
    <filter fld="3" type="dateBetween" evalOrder="-1" id="82" name="Order_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0915172-055D-40D8-9B94-D8F09351D59E}"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9">
  <location ref="E23:F31" firstHeaderRow="1" firstDataRow="1" firstDataCol="1"/>
  <pivotFields count="12">
    <pivotField dataField="1" showAll="0"/>
    <pivotField showAll="0"/>
    <pivotField showAll="0">
      <items count="5">
        <item x="2"/>
        <item x="1"/>
        <item x="0"/>
        <item x="3"/>
        <item t="default"/>
      </items>
    </pivotField>
    <pivotField numFmtId="164" showAll="0">
      <items count="12">
        <item x="2"/>
        <item x="0"/>
        <item x="8"/>
        <item x="4"/>
        <item x="9"/>
        <item x="10"/>
        <item x="1"/>
        <item x="6"/>
        <item x="5"/>
        <item x="3"/>
        <item x="7"/>
        <item t="default"/>
      </items>
    </pivotField>
    <pivotField showAll="0">
      <items count="9">
        <item x="3"/>
        <item x="2"/>
        <item x="6"/>
        <item x="1"/>
        <item x="5"/>
        <item x="4"/>
        <item x="0"/>
        <item x="7"/>
        <item t="default"/>
      </items>
    </pivotField>
    <pivotField showAll="0">
      <items count="9">
        <item x="0"/>
        <item x="3"/>
        <item x="5"/>
        <item x="2"/>
        <item x="4"/>
        <item x="7"/>
        <item x="1"/>
        <item x="6"/>
        <item t="default"/>
      </items>
    </pivotField>
    <pivotField showAll="0"/>
    <pivotField showAll="0"/>
    <pivotField showAll="0">
      <items count="3">
        <item x="1"/>
        <item x="0"/>
        <item t="default"/>
      </items>
    </pivotField>
    <pivotField axis="axisRow" showAll="0">
      <items count="8">
        <item x="2"/>
        <item x="3"/>
        <item x="4"/>
        <item x="0"/>
        <item x="5"/>
        <item x="1"/>
        <item x="6"/>
        <item t="default"/>
      </items>
    </pivotField>
    <pivotField showAll="0">
      <items count="5">
        <item x="0"/>
        <item x="2"/>
        <item x="3"/>
        <item x="1"/>
        <item t="default"/>
      </items>
    </pivotField>
    <pivotField showAll="0">
      <items count="3">
        <item x="0"/>
        <item x="1"/>
        <item t="default"/>
      </items>
    </pivotField>
  </pivotFields>
  <rowFields count="1">
    <field x="9"/>
  </rowFields>
  <rowItems count="8">
    <i>
      <x/>
    </i>
    <i>
      <x v="1"/>
    </i>
    <i>
      <x v="2"/>
    </i>
    <i>
      <x v="3"/>
    </i>
    <i>
      <x v="4"/>
    </i>
    <i>
      <x v="5"/>
    </i>
    <i>
      <x v="6"/>
    </i>
    <i t="grand">
      <x/>
    </i>
  </rowItems>
  <colItems count="1">
    <i/>
  </colItems>
  <dataFields count="1">
    <dataField name="Count of Order_ID" fld="0" subtotal="count" baseField="0" baseItem="0"/>
  </dataFields>
  <pivotTableStyleInfo name="PivotStyleLight16" showRowHeaders="1" showColHeaders="1" showRowStripes="0" showColStripes="0" showLastColumn="1"/>
  <filters count="1">
    <filter fld="3" type="dateBetween" evalOrder="-1" id="82" name="Order_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BAD9531-659C-444B-BECE-67C1E565C82C}"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7">
  <location ref="D15:E18" firstHeaderRow="1" firstDataRow="1" firstDataCol="1"/>
  <pivotFields count="12">
    <pivotField dataField="1" showAll="0"/>
    <pivotField showAll="0"/>
    <pivotField showAll="0">
      <items count="5">
        <item x="2"/>
        <item x="1"/>
        <item x="0"/>
        <item x="3"/>
        <item t="default"/>
      </items>
    </pivotField>
    <pivotField numFmtId="164" showAll="0">
      <items count="12">
        <item x="2"/>
        <item x="0"/>
        <item x="8"/>
        <item x="4"/>
        <item x="9"/>
        <item x="10"/>
        <item x="1"/>
        <item x="6"/>
        <item x="5"/>
        <item x="3"/>
        <item x="7"/>
        <item t="default"/>
      </items>
    </pivotField>
    <pivotField showAll="0">
      <items count="9">
        <item x="3"/>
        <item x="2"/>
        <item x="6"/>
        <item x="1"/>
        <item x="5"/>
        <item x="4"/>
        <item x="0"/>
        <item x="7"/>
        <item t="default"/>
      </items>
    </pivotField>
    <pivotField showAll="0">
      <items count="9">
        <item x="0"/>
        <item x="3"/>
        <item x="5"/>
        <item x="2"/>
        <item x="4"/>
        <item x="7"/>
        <item x="1"/>
        <item x="6"/>
        <item t="default"/>
      </items>
    </pivotField>
    <pivotField showAll="0"/>
    <pivotField showAll="0"/>
    <pivotField axis="axisRow" showAll="0">
      <items count="3">
        <item x="1"/>
        <item x="0"/>
        <item t="default"/>
      </items>
    </pivotField>
    <pivotField showAll="0"/>
    <pivotField showAll="0">
      <items count="5">
        <item x="0"/>
        <item x="2"/>
        <item x="3"/>
        <item x="1"/>
        <item t="default"/>
      </items>
    </pivotField>
    <pivotField showAll="0">
      <items count="3">
        <item x="0"/>
        <item x="1"/>
        <item t="default"/>
      </items>
    </pivotField>
  </pivotFields>
  <rowFields count="1">
    <field x="8"/>
  </rowFields>
  <rowItems count="3">
    <i>
      <x/>
    </i>
    <i>
      <x v="1"/>
    </i>
    <i t="grand">
      <x/>
    </i>
  </rowItems>
  <colItems count="1">
    <i/>
  </colItems>
  <dataFields count="1">
    <dataField name="Count of Order_ID" fld="0" subtotal="count" baseField="3" baseItem="0"/>
  </dataFields>
  <chartFormats count="5">
    <chartFormat chart="16" format="0"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 chart="23" format="5">
      <pivotArea type="data" outline="0" fieldPosition="0">
        <references count="2">
          <reference field="4294967294" count="1" selected="0">
            <x v="0"/>
          </reference>
          <reference field="8" count="1" selected="0">
            <x v="0"/>
          </reference>
        </references>
      </pivotArea>
    </chartFormat>
    <chartFormat chart="23" format="6">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filters count="1">
    <filter fld="3" type="dateBetween" evalOrder="-1" id="82" name="Order_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9AB7E3C-F999-440C-A63B-10D6D0BB772B}"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8">
  <location ref="G3:H12" firstHeaderRow="1" firstDataRow="1" firstDataCol="1"/>
  <pivotFields count="12">
    <pivotField showAll="0"/>
    <pivotField showAll="0"/>
    <pivotField showAll="0">
      <items count="5">
        <item x="2"/>
        <item x="1"/>
        <item x="0"/>
        <item x="3"/>
        <item t="default"/>
      </items>
    </pivotField>
    <pivotField numFmtId="164" showAll="0">
      <items count="12">
        <item x="2"/>
        <item x="0"/>
        <item x="8"/>
        <item x="4"/>
        <item x="9"/>
        <item x="10"/>
        <item x="1"/>
        <item x="6"/>
        <item x="5"/>
        <item x="3"/>
        <item x="7"/>
        <item t="default"/>
      </items>
    </pivotField>
    <pivotField showAll="0">
      <items count="9">
        <item x="3"/>
        <item x="2"/>
        <item x="6"/>
        <item x="1"/>
        <item x="5"/>
        <item x="4"/>
        <item x="0"/>
        <item x="7"/>
        <item t="default"/>
      </items>
    </pivotField>
    <pivotField axis="axisRow" showAll="0">
      <items count="9">
        <item x="0"/>
        <item x="3"/>
        <item x="5"/>
        <item x="2"/>
        <item x="4"/>
        <item x="7"/>
        <item x="1"/>
        <item x="6"/>
        <item t="default"/>
      </items>
    </pivotField>
    <pivotField dataField="1" showAll="0"/>
    <pivotField showAll="0"/>
    <pivotField showAll="0">
      <items count="3">
        <item x="1"/>
        <item x="0"/>
        <item t="default"/>
      </items>
    </pivotField>
    <pivotField showAll="0"/>
    <pivotField showAll="0">
      <items count="5">
        <item x="0"/>
        <item x="2"/>
        <item x="3"/>
        <item x="1"/>
        <item t="default"/>
      </items>
    </pivotField>
    <pivotField showAll="0">
      <items count="3">
        <item x="0"/>
        <item x="1"/>
        <item t="default"/>
      </items>
    </pivotField>
  </pivotFields>
  <rowFields count="1">
    <field x="5"/>
  </rowFields>
  <rowItems count="9">
    <i>
      <x/>
    </i>
    <i>
      <x v="1"/>
    </i>
    <i>
      <x v="2"/>
    </i>
    <i>
      <x v="3"/>
    </i>
    <i>
      <x v="4"/>
    </i>
    <i>
      <x v="5"/>
    </i>
    <i>
      <x v="6"/>
    </i>
    <i>
      <x v="7"/>
    </i>
    <i t="grand">
      <x/>
    </i>
  </rowItems>
  <colItems count="1">
    <i/>
  </colItems>
  <dataFields count="1">
    <dataField name="Count of Quantity" fld="6" subtotal="count" baseField="5" baseItem="0"/>
  </dataFields>
  <chartFormats count="1">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dateBetween" evalOrder="-1" id="65" name="Order_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9FBA17A-B3BE-46BF-94A9-7511125BA514}" name="PivotTable1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H45:I51" firstHeaderRow="1" firstDataRow="1" firstDataCol="1"/>
  <pivotFields count="13">
    <pivotField showAll="0"/>
    <pivotField axis="axisRow" showAll="0" measureFilter="1">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numFmtId="164" showAll="0"/>
    <pivotField showAll="0"/>
    <pivotField showAll="0"/>
    <pivotField showAll="0"/>
    <pivotField showAll="0"/>
    <pivotField showAll="0"/>
    <pivotField showAll="0"/>
    <pivotField showAll="0"/>
    <pivotField showAll="0"/>
    <pivotField dataField="1" showAll="0"/>
  </pivotFields>
  <rowFields count="1">
    <field x="1"/>
  </rowFields>
  <rowItems count="6">
    <i>
      <x v="40"/>
    </i>
    <i>
      <x v="54"/>
    </i>
    <i>
      <x v="66"/>
    </i>
    <i>
      <x v="74"/>
    </i>
    <i>
      <x v="98"/>
    </i>
    <i t="grand">
      <x/>
    </i>
  </rowItems>
  <colItems count="1">
    <i/>
  </colItems>
  <dataFields count="1">
    <dataField name="Sum of Total_spent" fld="12" baseField="0" baseItem="0"/>
  </dataFields>
  <chartFormats count="3">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A58471-CA05-45F1-A09E-BBF96E33F4D5}" name="PivotTable1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P42:Q143" firstHeaderRow="1" firstDataRow="1" firstDataCol="1"/>
  <pivotFields count="12">
    <pivotField showAll="0"/>
    <pivotField axis="axisRow"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items count="5">
        <item x="2"/>
        <item x="1"/>
        <item x="0"/>
        <item x="3"/>
        <item t="default"/>
      </items>
    </pivotField>
    <pivotField numFmtId="164" showAll="0">
      <items count="12">
        <item x="2"/>
        <item x="0"/>
        <item x="8"/>
        <item x="4"/>
        <item x="9"/>
        <item x="10"/>
        <item x="1"/>
        <item x="6"/>
        <item x="5"/>
        <item x="3"/>
        <item x="7"/>
        <item t="default"/>
      </items>
    </pivotField>
    <pivotField showAll="0">
      <items count="9">
        <item x="3"/>
        <item x="2"/>
        <item x="6"/>
        <item x="1"/>
        <item x="5"/>
        <item x="4"/>
        <item x="0"/>
        <item x="7"/>
        <item t="default"/>
      </items>
    </pivotField>
    <pivotField showAll="0">
      <items count="9">
        <item x="0"/>
        <item x="3"/>
        <item x="5"/>
        <item x="2"/>
        <item x="4"/>
        <item x="7"/>
        <item x="1"/>
        <item x="6"/>
        <item t="default"/>
      </items>
    </pivotField>
    <pivotField showAll="0"/>
    <pivotField dataField="1" showAll="0"/>
    <pivotField showAll="0">
      <items count="3">
        <item x="1"/>
        <item x="0"/>
        <item t="default"/>
      </items>
    </pivotField>
    <pivotField showAll="0">
      <items count="8">
        <item x="2"/>
        <item x="3"/>
        <item x="4"/>
        <item x="0"/>
        <item x="5"/>
        <item x="1"/>
        <item x="6"/>
        <item t="default"/>
      </items>
    </pivotField>
    <pivotField showAll="0">
      <items count="5">
        <item x="0"/>
        <item x="2"/>
        <item x="3"/>
        <item x="1"/>
        <item t="default"/>
      </items>
    </pivotField>
    <pivotField showAll="0">
      <items count="3">
        <item x="0"/>
        <item x="1"/>
        <item t="default"/>
      </items>
    </pivotField>
  </pivotFields>
  <rowFields count="1">
    <field x="1"/>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Items count="1">
    <i/>
  </colItems>
  <dataFields count="1">
    <dataField name="Sum of Price_per_Item" fld="7" baseField="0" baseItem="0"/>
  </dataFields>
  <pivotTableStyleInfo name="PivotStyleLight16" showRowHeaders="1" showColHeaders="1" showRowStripes="0" showColStripes="0" showLastColumn="1"/>
  <filters count="1">
    <filter fld="3" type="dateBetween" evalOrder="-1" id="15" name="Order_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3308B1D-4995-4B9C-A036-901D084574C7}" name="PivotTable10" cacheId="0" dataOnRows="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K30:L32" firstHeaderRow="1" firstDataRow="1" firstDataCol="1"/>
  <pivotFields count="12">
    <pivotField dataField="1" showAll="0"/>
    <pivotField showAll="0"/>
    <pivotField showAll="0">
      <items count="5">
        <item x="2"/>
        <item x="1"/>
        <item x="0"/>
        <item x="3"/>
        <item t="default"/>
      </items>
    </pivotField>
    <pivotField numFmtId="164" showAll="0">
      <items count="12">
        <item x="2"/>
        <item x="0"/>
        <item x="8"/>
        <item x="4"/>
        <item x="9"/>
        <item x="10"/>
        <item x="1"/>
        <item x="6"/>
        <item x="5"/>
        <item x="3"/>
        <item x="7"/>
        <item t="default"/>
      </items>
    </pivotField>
    <pivotField showAll="0">
      <items count="9">
        <item x="3"/>
        <item x="2"/>
        <item x="6"/>
        <item x="1"/>
        <item x="5"/>
        <item x="4"/>
        <item x="0"/>
        <item x="7"/>
        <item t="default"/>
      </items>
    </pivotField>
    <pivotField showAll="0"/>
    <pivotField showAll="0"/>
    <pivotField showAll="0"/>
    <pivotField showAll="0">
      <items count="3">
        <item x="1"/>
        <item x="0"/>
        <item t="default"/>
      </items>
    </pivotField>
    <pivotField dataField="1" showAll="0">
      <items count="8">
        <item x="2"/>
        <item x="3"/>
        <item x="4"/>
        <item x="0"/>
        <item x="5"/>
        <item x="1"/>
        <item x="6"/>
        <item t="default"/>
      </items>
    </pivotField>
    <pivotField showAll="0">
      <items count="5">
        <item x="0"/>
        <item x="2"/>
        <item x="3"/>
        <item x="1"/>
        <item t="default"/>
      </items>
    </pivotField>
    <pivotField showAll="0">
      <items count="3">
        <item x="0"/>
        <item x="1"/>
        <item t="default"/>
      </items>
    </pivotField>
  </pivotFields>
  <rowFields count="1">
    <field x="-2"/>
  </rowFields>
  <rowItems count="2">
    <i>
      <x/>
    </i>
    <i i="1">
      <x v="1"/>
    </i>
  </rowItems>
  <colItems count="1">
    <i/>
  </colItems>
  <dataFields count="2">
    <dataField name="Sum of Order_ID" fld="0" baseField="0" baseItem="0"/>
    <dataField name="Count of Delivery_Partner" fld="9" subtotal="count" baseField="0" baseItem="0"/>
  </dataFields>
  <pivotTableStyleInfo name="PivotStyleLight16" showRowHeaders="1" showColHeaders="1" showRowStripes="0" showColStripes="0" showLastColumn="1"/>
  <filters count="1">
    <filter fld="3" type="dateBetween" evalOrder="-1" id="15" name="Order_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1C2C565-9CB7-41F2-BE88-B779519DF086}"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D3:E12" firstHeaderRow="1" firstDataRow="1" firstDataCol="1"/>
  <pivotFields count="12">
    <pivotField dataField="1" showAll="0"/>
    <pivotField showAll="0"/>
    <pivotField showAll="0">
      <items count="5">
        <item x="2"/>
        <item x="1"/>
        <item x="0"/>
        <item x="3"/>
        <item t="default"/>
      </items>
    </pivotField>
    <pivotField numFmtId="164" showAll="0">
      <items count="12">
        <item x="2"/>
        <item x="0"/>
        <item x="8"/>
        <item x="4"/>
        <item x="9"/>
        <item x="10"/>
        <item x="1"/>
        <item x="6"/>
        <item x="5"/>
        <item x="3"/>
        <item x="7"/>
        <item t="default"/>
      </items>
    </pivotField>
    <pivotField axis="axisRow" showAll="0">
      <items count="9">
        <item x="3"/>
        <item x="2"/>
        <item x="6"/>
        <item x="1"/>
        <item x="5"/>
        <item x="4"/>
        <item x="0"/>
        <item x="7"/>
        <item t="default"/>
      </items>
    </pivotField>
    <pivotField showAll="0"/>
    <pivotField showAll="0"/>
    <pivotField showAll="0"/>
    <pivotField showAll="0">
      <items count="3">
        <item x="1"/>
        <item x="0"/>
        <item t="default"/>
      </items>
    </pivotField>
    <pivotField showAll="0"/>
    <pivotField showAll="0">
      <items count="5">
        <item x="0"/>
        <item x="2"/>
        <item x="3"/>
        <item x="1"/>
        <item t="default"/>
      </items>
    </pivotField>
    <pivotField showAll="0">
      <items count="3">
        <item x="0"/>
        <item x="1"/>
        <item t="default"/>
      </items>
    </pivotField>
  </pivotFields>
  <rowFields count="1">
    <field x="4"/>
  </rowFields>
  <rowItems count="9">
    <i>
      <x/>
    </i>
    <i>
      <x v="1"/>
    </i>
    <i>
      <x v="2"/>
    </i>
    <i>
      <x v="3"/>
    </i>
    <i>
      <x v="4"/>
    </i>
    <i>
      <x v="5"/>
    </i>
    <i>
      <x v="6"/>
    </i>
    <i>
      <x v="7"/>
    </i>
    <i t="grand">
      <x/>
    </i>
  </rowItems>
  <colItems count="1">
    <i/>
  </colItems>
  <dataFields count="1">
    <dataField name="Count of Order_ID" fld="0" subtotal="count" baseField="2" baseItem="0"/>
  </dataField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dateBetween" evalOrder="-1" id="65" name="Order_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480DC90-052F-4CB5-BE81-09A51042E30C}" name="PivotTable14" cacheId="0" dataOnRows="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Q13:Q14" firstHeaderRow="1" firstDataRow="1" firstDataCol="0"/>
  <pivotFields count="12">
    <pivotField showAll="0"/>
    <pivotField showAll="0"/>
    <pivotField showAll="0">
      <items count="5">
        <item x="2"/>
        <item x="1"/>
        <item x="0"/>
        <item x="3"/>
        <item t="default"/>
      </items>
    </pivotField>
    <pivotField numFmtId="164" showAll="0">
      <items count="12">
        <item x="2"/>
        <item x="0"/>
        <item x="8"/>
        <item x="4"/>
        <item x="9"/>
        <item x="10"/>
        <item x="1"/>
        <item x="6"/>
        <item x="5"/>
        <item x="3"/>
        <item x="7"/>
        <item t="default"/>
      </items>
    </pivotField>
    <pivotField showAll="0">
      <items count="9">
        <item x="3"/>
        <item x="2"/>
        <item x="6"/>
        <item x="1"/>
        <item x="5"/>
        <item x="4"/>
        <item x="0"/>
        <item x="7"/>
        <item t="default"/>
      </items>
    </pivotField>
    <pivotField showAll="0"/>
    <pivotField showAll="0"/>
    <pivotField showAll="0"/>
    <pivotField showAll="0">
      <items count="3">
        <item x="1"/>
        <item x="0"/>
        <item t="default"/>
      </items>
    </pivotField>
    <pivotField dataField="1" showAll="0">
      <items count="8">
        <item x="2"/>
        <item x="3"/>
        <item x="4"/>
        <item x="0"/>
        <item x="5"/>
        <item x="1"/>
        <item x="6"/>
        <item t="default"/>
      </items>
    </pivotField>
    <pivotField showAll="0">
      <items count="5">
        <item x="0"/>
        <item x="2"/>
        <item x="3"/>
        <item x="1"/>
        <item t="default"/>
      </items>
    </pivotField>
    <pivotField showAll="0">
      <items count="3">
        <item x="0"/>
        <item x="1"/>
        <item t="default"/>
      </items>
    </pivotField>
  </pivotFields>
  <rowItems count="1">
    <i/>
  </rowItems>
  <colItems count="1">
    <i/>
  </colItems>
  <dataFields count="1">
    <dataField name="Count of Delivery_Partner" fld="9" subtotal="count" baseField="0" baseItem="0"/>
  </dataFields>
  <pivotTableStyleInfo name="PivotStyleLight16" showRowHeaders="1" showColHeaders="1" showRowStripes="0" showColStripes="0" showLastColumn="1"/>
  <filters count="1">
    <filter fld="3" type="dateBetween" evalOrder="-1" id="15" name="Order_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CB1FBAE-8EDE-4630-AE83-490B8BD5079F}"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H26:H34" firstHeaderRow="1" firstDataRow="1" firstDataCol="1"/>
  <pivotFields count="12">
    <pivotField showAll="0"/>
    <pivotField showAll="0"/>
    <pivotField showAll="0">
      <items count="5">
        <item x="2"/>
        <item x="1"/>
        <item x="0"/>
        <item x="3"/>
        <item t="default"/>
      </items>
    </pivotField>
    <pivotField numFmtId="164" showAll="0">
      <items count="12">
        <item x="2"/>
        <item x="0"/>
        <item x="8"/>
        <item x="4"/>
        <item x="9"/>
        <item x="10"/>
        <item x="1"/>
        <item x="6"/>
        <item x="5"/>
        <item x="3"/>
        <item x="7"/>
        <item t="default"/>
      </items>
    </pivotField>
    <pivotField showAll="0">
      <items count="9">
        <item x="3"/>
        <item x="2"/>
        <item x="6"/>
        <item x="1"/>
        <item x="5"/>
        <item x="4"/>
        <item x="0"/>
        <item x="7"/>
        <item t="default"/>
      </items>
    </pivotField>
    <pivotField showAll="0"/>
    <pivotField showAll="0"/>
    <pivotField showAll="0"/>
    <pivotField showAll="0">
      <items count="3">
        <item x="1"/>
        <item x="0"/>
        <item t="default"/>
      </items>
    </pivotField>
    <pivotField axis="axisRow" showAll="0">
      <items count="8">
        <item x="2"/>
        <item x="3"/>
        <item x="4"/>
        <item x="0"/>
        <item x="5"/>
        <item x="1"/>
        <item x="6"/>
        <item t="default"/>
      </items>
    </pivotField>
    <pivotField showAll="0">
      <items count="5">
        <item x="0"/>
        <item x="2"/>
        <item x="3"/>
        <item x="1"/>
        <item t="default"/>
      </items>
    </pivotField>
    <pivotField showAll="0">
      <items count="3">
        <item x="0"/>
        <item x="1"/>
        <item t="default"/>
      </items>
    </pivotField>
  </pivotFields>
  <rowFields count="1">
    <field x="9"/>
  </rowFields>
  <rowItems count="8">
    <i>
      <x/>
    </i>
    <i>
      <x v="1"/>
    </i>
    <i>
      <x v="2"/>
    </i>
    <i>
      <x v="3"/>
    </i>
    <i>
      <x v="4"/>
    </i>
    <i>
      <x v="5"/>
    </i>
    <i>
      <x v="6"/>
    </i>
    <i t="grand">
      <x/>
    </i>
  </rowItems>
  <colItems count="1">
    <i/>
  </colItems>
  <pivotTableStyleInfo name="PivotStyleLight16" showRowHeaders="1" showColHeaders="1" showRowStripes="0" showColStripes="0" showLastColumn="1"/>
  <filters count="1">
    <filter fld="3" type="dateBetween" evalOrder="-1" id="15" name="Order_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B59DCDD-7F95-4A25-8379-B765684A2349}"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1">
  <location ref="J15:K23" firstHeaderRow="1" firstDataRow="1" firstDataCol="1"/>
  <pivotFields count="12">
    <pivotField dataField="1" showAll="0"/>
    <pivotField showAll="0"/>
    <pivotField showAll="0">
      <items count="5">
        <item x="2"/>
        <item x="1"/>
        <item x="0"/>
        <item x="3"/>
        <item t="default"/>
      </items>
    </pivotField>
    <pivotField numFmtId="164" showAll="0">
      <items count="12">
        <item x="2"/>
        <item x="0"/>
        <item x="8"/>
        <item x="4"/>
        <item x="9"/>
        <item x="10"/>
        <item x="1"/>
        <item x="6"/>
        <item x="5"/>
        <item x="3"/>
        <item x="7"/>
        <item t="default"/>
      </items>
    </pivotField>
    <pivotField showAll="0">
      <items count="9">
        <item x="3"/>
        <item x="2"/>
        <item x="6"/>
        <item x="1"/>
        <item x="5"/>
        <item x="4"/>
        <item x="0"/>
        <item x="7"/>
        <item t="default"/>
      </items>
    </pivotField>
    <pivotField showAll="0">
      <items count="9">
        <item x="0"/>
        <item x="3"/>
        <item x="5"/>
        <item x="2"/>
        <item x="4"/>
        <item x="7"/>
        <item x="1"/>
        <item x="6"/>
        <item t="default"/>
      </items>
    </pivotField>
    <pivotField showAll="0"/>
    <pivotField showAll="0"/>
    <pivotField showAll="0">
      <items count="3">
        <item x="1"/>
        <item x="0"/>
        <item t="default"/>
      </items>
    </pivotField>
    <pivotField axis="axisRow" showAll="0">
      <items count="8">
        <item x="2"/>
        <item x="3"/>
        <item x="4"/>
        <item x="0"/>
        <item x="5"/>
        <item x="1"/>
        <item x="6"/>
        <item t="default"/>
      </items>
    </pivotField>
    <pivotField showAll="0">
      <items count="5">
        <item x="0"/>
        <item x="2"/>
        <item x="3"/>
        <item x="1"/>
        <item t="default"/>
      </items>
    </pivotField>
    <pivotField showAll="0">
      <items count="3">
        <item x="0"/>
        <item x="1"/>
        <item t="default"/>
      </items>
    </pivotField>
  </pivotFields>
  <rowFields count="1">
    <field x="9"/>
  </rowFields>
  <rowItems count="8">
    <i>
      <x/>
    </i>
    <i>
      <x v="1"/>
    </i>
    <i>
      <x v="2"/>
    </i>
    <i>
      <x v="3"/>
    </i>
    <i>
      <x v="4"/>
    </i>
    <i>
      <x v="5"/>
    </i>
    <i>
      <x v="6"/>
    </i>
    <i t="grand">
      <x/>
    </i>
  </rowItems>
  <colItems count="1">
    <i/>
  </colItems>
  <dataFields count="1">
    <dataField name="Count of Order_ID" fld="0" subtotal="count" baseField="9" baseItem="0"/>
  </dataFields>
  <pivotTableStyleInfo name="PivotStyleLight16" showRowHeaders="1" showColHeaders="1" showRowStripes="0" showColStripes="0" showLastColumn="1"/>
  <filters count="1">
    <filter fld="3" type="dateBetween" evalOrder="-1" id="82" name="Order_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5F641B6-B521-4125-A922-698CF0DFC8C1}"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0">
  <location ref="A14:B26" firstHeaderRow="1" firstDataRow="1" firstDataCol="1"/>
  <pivotFields count="12">
    <pivotField dataField="1" showAll="0"/>
    <pivotField showAll="0"/>
    <pivotField showAll="0">
      <items count="5">
        <item x="2"/>
        <item x="1"/>
        <item x="0"/>
        <item x="3"/>
        <item t="default"/>
      </items>
    </pivotField>
    <pivotField axis="axisRow" numFmtId="164" showAll="0">
      <items count="12">
        <item x="2"/>
        <item x="0"/>
        <item x="8"/>
        <item x="4"/>
        <item x="9"/>
        <item x="10"/>
        <item x="1"/>
        <item x="6"/>
        <item x="5"/>
        <item x="3"/>
        <item x="7"/>
        <item t="default"/>
      </items>
    </pivotField>
    <pivotField showAll="0">
      <items count="9">
        <item x="3"/>
        <item x="2"/>
        <item x="6"/>
        <item x="1"/>
        <item x="5"/>
        <item x="4"/>
        <item x="0"/>
        <item x="7"/>
        <item t="default"/>
      </items>
    </pivotField>
    <pivotField showAll="0">
      <items count="9">
        <item x="0"/>
        <item x="3"/>
        <item x="5"/>
        <item x="2"/>
        <item x="4"/>
        <item x="7"/>
        <item x="1"/>
        <item x="6"/>
        <item t="default"/>
      </items>
    </pivotField>
    <pivotField showAll="0"/>
    <pivotField showAll="0"/>
    <pivotField showAll="0">
      <items count="3">
        <item x="1"/>
        <item x="0"/>
        <item t="default"/>
      </items>
    </pivotField>
    <pivotField showAll="0"/>
    <pivotField showAll="0">
      <items count="5">
        <item x="0"/>
        <item x="2"/>
        <item x="3"/>
        <item x="1"/>
        <item t="default"/>
      </items>
    </pivotField>
    <pivotField showAll="0">
      <items count="3">
        <item x="0"/>
        <item x="1"/>
        <item t="default"/>
      </items>
    </pivotField>
  </pivotFields>
  <rowFields count="1">
    <field x="3"/>
  </rowFields>
  <rowItems count="12">
    <i>
      <x/>
    </i>
    <i>
      <x v="1"/>
    </i>
    <i>
      <x v="2"/>
    </i>
    <i>
      <x v="3"/>
    </i>
    <i>
      <x v="4"/>
    </i>
    <i>
      <x v="5"/>
    </i>
    <i>
      <x v="6"/>
    </i>
    <i>
      <x v="7"/>
    </i>
    <i>
      <x v="8"/>
    </i>
    <i>
      <x v="9"/>
    </i>
    <i>
      <x v="10"/>
    </i>
    <i t="grand">
      <x/>
    </i>
  </rowItems>
  <colItems count="1">
    <i/>
  </colItems>
  <dataFields count="1">
    <dataField name="Count of Order_ID" fld="0" subtotal="count" baseField="3" baseItem="0"/>
  </dataFields>
  <chartFormats count="1">
    <chartFormat chart="1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dateBetween" evalOrder="-1" id="82" name="Order_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2FCC531-E149-47E4-88EE-1AA8B51CA003}"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3:B8" firstHeaderRow="1" firstDataRow="1" firstDataCol="1"/>
  <pivotFields count="12">
    <pivotField dataField="1" showAll="0"/>
    <pivotField showAll="0"/>
    <pivotField axis="axisRow" showAll="0">
      <items count="5">
        <item x="2"/>
        <item x="1"/>
        <item x="0"/>
        <item x="3"/>
        <item t="default"/>
      </items>
    </pivotField>
    <pivotField numFmtId="164" showAll="0">
      <items count="12">
        <item x="2"/>
        <item x="0"/>
        <item x="8"/>
        <item x="4"/>
        <item x="9"/>
        <item x="10"/>
        <item x="1"/>
        <item x="6"/>
        <item x="5"/>
        <item x="3"/>
        <item x="7"/>
        <item t="default"/>
      </items>
    </pivotField>
    <pivotField showAll="0">
      <items count="9">
        <item x="3"/>
        <item x="2"/>
        <item x="6"/>
        <item x="1"/>
        <item x="5"/>
        <item x="4"/>
        <item x="0"/>
        <item x="7"/>
        <item t="default"/>
      </items>
    </pivotField>
    <pivotField showAll="0"/>
    <pivotField showAll="0"/>
    <pivotField showAll="0"/>
    <pivotField showAll="0">
      <items count="3">
        <item x="1"/>
        <item x="0"/>
        <item t="default"/>
      </items>
    </pivotField>
    <pivotField showAll="0"/>
    <pivotField showAll="0">
      <items count="5">
        <item x="0"/>
        <item x="2"/>
        <item x="3"/>
        <item x="1"/>
        <item t="default"/>
      </items>
    </pivotField>
    <pivotField showAll="0">
      <items count="3">
        <item x="0"/>
        <item x="1"/>
        <item t="default"/>
      </items>
    </pivotField>
  </pivotFields>
  <rowFields count="1">
    <field x="2"/>
  </rowFields>
  <rowItems count="5">
    <i>
      <x/>
    </i>
    <i>
      <x v="1"/>
    </i>
    <i>
      <x v="2"/>
    </i>
    <i>
      <x v="3"/>
    </i>
    <i t="grand">
      <x/>
    </i>
  </rowItems>
  <colItems count="1">
    <i/>
  </colItems>
  <dataFields count="1">
    <dataField name="Count of Order_ID" fld="0" subtotal="count" baseField="2" baseItem="0"/>
  </dataFields>
  <chartFormats count="5">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 count="1" selected="0">
            <x v="1"/>
          </reference>
        </references>
      </pivotArea>
    </chartFormat>
    <chartFormat chart="3" format="4">
      <pivotArea type="data" outline="0" fieldPosition="0">
        <references count="2">
          <reference field="4294967294" count="1" selected="0">
            <x v="0"/>
          </reference>
          <reference field="2" count="1" selected="0">
            <x v="0"/>
          </reference>
        </references>
      </pivotArea>
    </chartFormat>
    <chartFormat chart="3" format="5">
      <pivotArea type="data" outline="0" fieldPosition="0">
        <references count="2">
          <reference field="4294967294" count="1" selected="0">
            <x v="0"/>
          </reference>
          <reference field="2" count="1" selected="0">
            <x v="2"/>
          </reference>
        </references>
      </pivotArea>
    </chartFormat>
    <chartFormat chart="3" format="6">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filters count="1">
    <filter fld="3" type="dateBetween" evalOrder="-1" id="65" name="Order_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6A8EE66A-1DF2-41AB-BF41-014E97BC5A47}" sourceName="Location">
  <pivotTables>
    <pivotTable tabId="3" name="PivotTable1"/>
    <pivotTable tabId="3" name="PivotTable2"/>
    <pivotTable tabId="3" name="PivotTable3"/>
    <pivotTable tabId="3" name="PivotTable4"/>
    <pivotTable tabId="3" name="PivotTable5"/>
    <pivotTable tabId="3" name="PivotTable6"/>
    <pivotTable tabId="3" name="PivotTable7"/>
    <pivotTable tabId="3" name="PivotTable8"/>
    <pivotTable tabId="3" name="PivotTable10"/>
    <pivotTable tabId="3" name="PivotTable11"/>
    <pivotTable tabId="3" name="PivotTable14"/>
    <pivotTable tabId="3" name="PivotTable15"/>
    <pivotTable tabId="3" name="PivotTable9"/>
  </pivotTables>
  <data>
    <tabular pivotCacheId="539849206">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taurant" xr10:uid="{C2828542-DA91-4C89-8321-0317BD8A8A6A}" sourceName="Restaurant">
  <pivotTables>
    <pivotTable tabId="3" name="PivotTable2"/>
    <pivotTable tabId="3" name="PivotTable3"/>
    <pivotTable tabId="3" name="PivotTable1"/>
    <pivotTable tabId="3" name="PivotTable4"/>
    <pivotTable tabId="3" name="PivotTable5"/>
    <pivotTable tabId="3" name="PivotTable6"/>
    <pivotTable tabId="3" name="PivotTable7"/>
    <pivotTable tabId="3" name="PivotTable8"/>
    <pivotTable tabId="3" name="PivotTable10"/>
    <pivotTable tabId="3" name="PivotTable11"/>
    <pivotTable tabId="3" name="PivotTable14"/>
    <pivotTable tabId="3" name="PivotTable15"/>
    <pivotTable tabId="3" name="PivotTable9"/>
  </pivotTables>
  <data>
    <tabular pivotCacheId="539849206">
      <items count="8">
        <i x="3" s="1"/>
        <i x="2" s="1"/>
        <i x="6" s="1"/>
        <i x="1" s="1"/>
        <i x="5" s="1"/>
        <i x="4" s="1"/>
        <i x="0" s="1"/>
        <i x="7"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79A6B849-C391-4E1A-A28C-C4C01BFD041A}" sourceName="Payment_Method">
  <pivotTables>
    <pivotTable tabId="3" name="PivotTable6"/>
    <pivotTable tabId="3" name="PivotTable1"/>
    <pivotTable tabId="3" name="PivotTable2"/>
    <pivotTable tabId="3" name="PivotTable3"/>
    <pivotTable tabId="3" name="PivotTable4"/>
    <pivotTable tabId="3" name="PivotTable5"/>
    <pivotTable tabId="3" name="PivotTable7"/>
    <pivotTable tabId="3" name="PivotTable8"/>
    <pivotTable tabId="3" name="PivotTable10"/>
    <pivotTable tabId="3" name="PivotTable11"/>
    <pivotTable tabId="3" name="PivotTable14"/>
    <pivotTable tabId="3" name="PivotTable15"/>
    <pivotTable tabId="3" name="PivotTable9"/>
  </pivotTables>
  <data>
    <tabular pivotCacheId="539849206">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ting" xr10:uid="{AF9F26D9-E553-451F-94F3-9E4532EFC7A4}" sourceName="Rating">
  <pivotTables>
    <pivotTable tabId="3" name="PivotTable11"/>
    <pivotTable tabId="3" name="PivotTable1"/>
    <pivotTable tabId="3" name="PivotTable10"/>
    <pivotTable tabId="3" name="PivotTable2"/>
    <pivotTable tabId="3" name="PivotTable3"/>
    <pivotTable tabId="3" name="PivotTable4"/>
    <pivotTable tabId="3" name="PivotTable5"/>
    <pivotTable tabId="3" name="PivotTable6"/>
    <pivotTable tabId="3" name="PivotTable7"/>
    <pivotTable tabId="3" name="PivotTable8"/>
    <pivotTable tabId="3" name="PivotTable9"/>
    <pivotTable tabId="3" name="PivotTable14"/>
    <pivotTable tabId="3" name="PivotTable15"/>
  </pivotTables>
  <data>
    <tabular pivotCacheId="539849206">
      <items count="4">
        <i x="0" s="1"/>
        <i x="2" s="1"/>
        <i x="3"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livery_Status" xr10:uid="{DE1ACEC6-CCE5-4EC2-830F-11922A4FEB6F}" sourceName="Delivery_Status">
  <pivotTables>
    <pivotTable tabId="3" name="PivotTable5"/>
    <pivotTable tabId="3" name="PivotTable1"/>
    <pivotTable tabId="3" name="PivotTable10"/>
    <pivotTable tabId="3" name="PivotTable11"/>
    <pivotTable tabId="3" name="PivotTable14"/>
    <pivotTable tabId="3" name="PivotTable15"/>
    <pivotTable tabId="3" name="PivotTable2"/>
    <pivotTable tabId="3" name="PivotTable3"/>
    <pivotTable tabId="3" name="PivotTable4"/>
    <pivotTable tabId="3" name="PivotTable6"/>
    <pivotTable tabId="3" name="PivotTable7"/>
    <pivotTable tabId="3" name="PivotTable8"/>
    <pivotTable tabId="3" name="PivotTable9"/>
  </pivotTables>
  <data>
    <tabular pivotCacheId="539849206">
      <items count="2">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livery_Partner" xr10:uid="{4AB816C5-CB52-469D-B2F6-E72CF5A9A434}" sourceName="Delivery_Partner">
  <pivotTables>
    <pivotTable tabId="3" name="PivotTable12"/>
  </pivotTables>
  <data>
    <tabular pivotCacheId="1865540790">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tion" xr10:uid="{665D157F-EA9A-4FDE-BBE6-099204947DF7}" cache="Slicer_Location" caption="Location" columnCount="4" style="Slicer Style 1" rowHeight="365760"/>
  <slicer name="Restaurant" xr10:uid="{D210E4B5-2B77-40C2-A3F2-354E605BF169}" cache="Slicer_Restaurant" caption="Restaurant" columnCount="8" style="Slicer Style 1" rowHeight="457200"/>
  <slicer name="Payment_Method" xr10:uid="{2FC05054-0A21-47D7-B424-FF8D2FF73571}" cache="Slicer_Payment_Method" caption="Payment_Method" columnCount="2" style="Slicer Style 1" rowHeight="640080"/>
  <slicer name="Rating" xr10:uid="{881ADC64-4D39-46F2-8E4F-0D9AA44C0170}" cache="Slicer_Rating" caption="Rating" columnCount="4" style="Slicer Style 1" rowHeight="365760"/>
  <slicer name="Delivery_Status" xr10:uid="{9970F506-403B-432A-8CAD-D3E38F9FE761}" cache="Slicer_Delivery_Status" caption="Delivery_Status" columnCount="2" style="Slicer Style 1" rowHeight="640080"/>
  <slicer name="Delivery_Partner" xr10:uid="{BF0FA153-0336-41D1-9394-507CD92DF9FD}" cache="Slicer_Delivery_Partner" caption="Delivery_Partner" columnCount="2" style="Slicer Style 1" rowHeight="4572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7C6B8EF7-A060-42E0-AB27-3C20D6B3B106}" sourceName="Order_Date">
  <pivotTables>
    <pivotTable tabId="3" name="PivotTable4"/>
    <pivotTable tabId="3" name="PivotTable1"/>
    <pivotTable tabId="3" name="PivotTable2"/>
    <pivotTable tabId="3" name="PivotTable3"/>
    <pivotTable tabId="3" name="PivotTable5"/>
    <pivotTable tabId="3" name="PivotTable6"/>
    <pivotTable tabId="3" name="PivotTable7"/>
    <pivotTable tabId="3" name="PivotTable8"/>
    <pivotTable tabId="3" name="PivotTable10"/>
    <pivotTable tabId="3" name="PivotTable11"/>
    <pivotTable tabId="3" name="PivotTable14"/>
    <pivotTable tabId="3" name="PivotTable15"/>
    <pivotTable tabId="3" name="PivotTable9"/>
  </pivotTables>
  <state minimalRefreshVersion="6" lastRefreshVersion="6" pivotCacheId="539849206" filterType="dateBetween">
    <selection startDate="2025-06-01T00:00:00" endDate="2025-06-30T00:00:00"/>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5D7C6A9D-FD39-4995-9648-8B06BC0B59B1}" cache="NativeTimeline_Order_Date" caption="Order_Date" showHeader="0" level="2" selectionLevel="2" scrollPosition="2025-04-01T00:00:00" style="TimeSlicerStyleDark1"/>
</timelines>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C717E-A85E-437A-9482-1FE4BA79240E}">
  <dimension ref="A3:U143"/>
  <sheetViews>
    <sheetView topLeftCell="J21" workbookViewId="0">
      <selection activeCell="T27" sqref="T27:U30"/>
    </sheetView>
  </sheetViews>
  <sheetFormatPr defaultRowHeight="14.4" x14ac:dyDescent="0.3"/>
  <cols>
    <col min="1" max="1" width="12.5546875" bestFit="1" customWidth="1"/>
    <col min="2" max="2" width="16.44140625" bestFit="1" customWidth="1"/>
    <col min="4" max="4" width="12.5546875" bestFit="1" customWidth="1"/>
    <col min="5" max="5" width="14.44140625" bestFit="1" customWidth="1"/>
    <col min="6" max="6" width="16.44140625" bestFit="1" customWidth="1"/>
    <col min="7" max="7" width="12.5546875" bestFit="1" customWidth="1"/>
    <col min="8" max="8" width="14.44140625" bestFit="1" customWidth="1"/>
    <col min="9" max="9" width="17.5546875" bestFit="1" customWidth="1"/>
    <col min="10" max="10" width="14.44140625" bestFit="1" customWidth="1"/>
    <col min="11" max="11" width="16.44140625" bestFit="1" customWidth="1"/>
    <col min="12" max="12" width="7" bestFit="1" customWidth="1"/>
    <col min="16" max="16" width="14" bestFit="1" customWidth="1"/>
    <col min="17" max="17" width="20.44140625" bestFit="1" customWidth="1"/>
    <col min="18" max="18" width="10.6640625" bestFit="1" customWidth="1"/>
    <col min="19" max="19" width="13.5546875" bestFit="1" customWidth="1"/>
    <col min="20" max="20" width="12.5546875" bestFit="1" customWidth="1"/>
    <col min="21" max="21" width="16.44140625" bestFit="1" customWidth="1"/>
    <col min="22" max="22" width="10.88671875" bestFit="1" customWidth="1"/>
    <col min="23" max="23" width="8.5546875" bestFit="1" customWidth="1"/>
    <col min="24" max="24" width="7.6640625" bestFit="1" customWidth="1"/>
    <col min="25" max="25" width="10.77734375" bestFit="1" customWidth="1"/>
  </cols>
  <sheetData>
    <row r="3" spans="1:17" x14ac:dyDescent="0.3">
      <c r="A3" s="5" t="s">
        <v>145</v>
      </c>
      <c r="B3" t="s">
        <v>148</v>
      </c>
      <c r="D3" s="5" t="s">
        <v>145</v>
      </c>
      <c r="E3" t="s">
        <v>148</v>
      </c>
      <c r="G3" s="5" t="s">
        <v>145</v>
      </c>
      <c r="H3" t="s">
        <v>149</v>
      </c>
    </row>
    <row r="4" spans="1:17" x14ac:dyDescent="0.3">
      <c r="A4" s="6" t="s">
        <v>114</v>
      </c>
      <c r="B4" s="10">
        <v>26</v>
      </c>
      <c r="D4" s="6" t="s">
        <v>119</v>
      </c>
      <c r="E4" s="10">
        <v>15</v>
      </c>
      <c r="G4" s="6" t="s">
        <v>124</v>
      </c>
      <c r="H4" s="10">
        <v>13</v>
      </c>
    </row>
    <row r="5" spans="1:17" x14ac:dyDescent="0.3">
      <c r="A5" s="6" t="s">
        <v>113</v>
      </c>
      <c r="B5" s="10">
        <v>27</v>
      </c>
      <c r="D5" s="6" t="s">
        <v>118</v>
      </c>
      <c r="E5" s="10">
        <v>10</v>
      </c>
      <c r="G5" s="6" t="s">
        <v>127</v>
      </c>
      <c r="H5" s="10">
        <v>15</v>
      </c>
    </row>
    <row r="6" spans="1:17" x14ac:dyDescent="0.3">
      <c r="A6" s="6" t="s">
        <v>112</v>
      </c>
      <c r="B6" s="10">
        <v>26</v>
      </c>
      <c r="D6" s="6" t="s">
        <v>122</v>
      </c>
      <c r="E6" s="10">
        <v>11</v>
      </c>
      <c r="G6" s="6" t="s">
        <v>129</v>
      </c>
      <c r="H6" s="10">
        <v>11</v>
      </c>
    </row>
    <row r="7" spans="1:17" x14ac:dyDescent="0.3">
      <c r="A7" s="6" t="s">
        <v>115</v>
      </c>
      <c r="B7" s="10">
        <v>21</v>
      </c>
      <c r="D7" s="6" t="s">
        <v>117</v>
      </c>
      <c r="E7" s="10">
        <v>16</v>
      </c>
      <c r="G7" s="6" t="s">
        <v>126</v>
      </c>
      <c r="H7" s="10">
        <v>10</v>
      </c>
    </row>
    <row r="8" spans="1:17" x14ac:dyDescent="0.3">
      <c r="A8" s="6" t="s">
        <v>146</v>
      </c>
      <c r="B8" s="10">
        <v>100</v>
      </c>
      <c r="D8" s="6" t="s">
        <v>121</v>
      </c>
      <c r="E8" s="10">
        <v>11</v>
      </c>
      <c r="G8" s="6" t="s">
        <v>128</v>
      </c>
      <c r="H8" s="10">
        <v>17</v>
      </c>
    </row>
    <row r="9" spans="1:17" x14ac:dyDescent="0.3">
      <c r="D9" s="6" t="s">
        <v>120</v>
      </c>
      <c r="E9" s="10">
        <v>17</v>
      </c>
      <c r="G9" s="6" t="s">
        <v>131</v>
      </c>
      <c r="H9" s="10">
        <v>7</v>
      </c>
    </row>
    <row r="10" spans="1:17" x14ac:dyDescent="0.3">
      <c r="D10" s="6" t="s">
        <v>116</v>
      </c>
      <c r="E10" s="10">
        <v>13</v>
      </c>
      <c r="G10" s="6" t="s">
        <v>125</v>
      </c>
      <c r="H10" s="10">
        <v>16</v>
      </c>
    </row>
    <row r="11" spans="1:17" x14ac:dyDescent="0.3">
      <c r="D11" s="6" t="s">
        <v>123</v>
      </c>
      <c r="E11" s="10">
        <v>7</v>
      </c>
      <c r="G11" s="6" t="s">
        <v>130</v>
      </c>
      <c r="H11" s="10">
        <v>11</v>
      </c>
    </row>
    <row r="12" spans="1:17" x14ac:dyDescent="0.3">
      <c r="D12" s="6" t="s">
        <v>146</v>
      </c>
      <c r="E12" s="10">
        <v>100</v>
      </c>
      <c r="G12" s="6" t="s">
        <v>146</v>
      </c>
      <c r="H12" s="10">
        <v>100</v>
      </c>
    </row>
    <row r="13" spans="1:17" x14ac:dyDescent="0.3">
      <c r="Q13" t="s">
        <v>152</v>
      </c>
    </row>
    <row r="14" spans="1:17" x14ac:dyDescent="0.3">
      <c r="A14" s="5" t="s">
        <v>145</v>
      </c>
      <c r="B14" t="s">
        <v>148</v>
      </c>
      <c r="Q14" s="10">
        <v>100</v>
      </c>
    </row>
    <row r="15" spans="1:17" x14ac:dyDescent="0.3">
      <c r="A15" s="7">
        <v>45809</v>
      </c>
      <c r="B15" s="10">
        <v>11</v>
      </c>
      <c r="D15" s="5" t="s">
        <v>145</v>
      </c>
      <c r="E15" t="s">
        <v>148</v>
      </c>
      <c r="G15" s="5" t="s">
        <v>145</v>
      </c>
      <c r="H15" t="s">
        <v>148</v>
      </c>
      <c r="J15" s="5" t="s">
        <v>145</v>
      </c>
      <c r="K15" t="s">
        <v>148</v>
      </c>
    </row>
    <row r="16" spans="1:17" x14ac:dyDescent="0.3">
      <c r="A16" s="7">
        <v>45810</v>
      </c>
      <c r="B16" s="10">
        <v>12</v>
      </c>
      <c r="D16" s="6" t="s">
        <v>133</v>
      </c>
      <c r="E16" s="10">
        <v>10</v>
      </c>
      <c r="G16" s="6" t="s">
        <v>142</v>
      </c>
      <c r="H16" s="10">
        <v>49</v>
      </c>
      <c r="J16" s="6" t="s">
        <v>136</v>
      </c>
      <c r="K16" s="10">
        <v>19</v>
      </c>
    </row>
    <row r="17" spans="1:21" x14ac:dyDescent="0.3">
      <c r="A17" s="7">
        <v>45811</v>
      </c>
      <c r="B17" s="10">
        <v>10</v>
      </c>
      <c r="D17" s="6" t="s">
        <v>132</v>
      </c>
      <c r="E17" s="10">
        <v>90</v>
      </c>
      <c r="G17" s="6" t="s">
        <v>143</v>
      </c>
      <c r="H17" s="10">
        <v>51</v>
      </c>
      <c r="J17" s="6" t="s">
        <v>137</v>
      </c>
      <c r="K17" s="10">
        <v>18</v>
      </c>
    </row>
    <row r="18" spans="1:21" x14ac:dyDescent="0.3">
      <c r="A18" s="7">
        <v>45812</v>
      </c>
      <c r="B18" s="10">
        <v>4</v>
      </c>
      <c r="D18" s="6" t="s">
        <v>146</v>
      </c>
      <c r="E18" s="10">
        <v>100</v>
      </c>
      <c r="G18" s="6" t="s">
        <v>146</v>
      </c>
      <c r="H18" s="10">
        <v>100</v>
      </c>
      <c r="J18" s="6" t="s">
        <v>138</v>
      </c>
      <c r="K18" s="10">
        <v>9</v>
      </c>
    </row>
    <row r="19" spans="1:21" x14ac:dyDescent="0.3">
      <c r="A19" s="7">
        <v>45813</v>
      </c>
      <c r="B19" s="10">
        <v>11</v>
      </c>
      <c r="J19" s="6" t="s">
        <v>134</v>
      </c>
      <c r="K19" s="10">
        <v>16</v>
      </c>
    </row>
    <row r="20" spans="1:21" x14ac:dyDescent="0.3">
      <c r="A20" s="7">
        <v>45814</v>
      </c>
      <c r="B20" s="10">
        <v>7</v>
      </c>
      <c r="J20" s="6" t="s">
        <v>139</v>
      </c>
      <c r="K20" s="10">
        <v>14</v>
      </c>
    </row>
    <row r="21" spans="1:21" x14ac:dyDescent="0.3">
      <c r="A21" s="7">
        <v>45815</v>
      </c>
      <c r="B21" s="10">
        <v>8</v>
      </c>
      <c r="J21" s="6" t="s">
        <v>135</v>
      </c>
      <c r="K21" s="10">
        <v>10</v>
      </c>
    </row>
    <row r="22" spans="1:21" x14ac:dyDescent="0.3">
      <c r="A22" s="7">
        <v>45816</v>
      </c>
      <c r="B22" s="10">
        <v>13</v>
      </c>
      <c r="J22" s="6" t="s">
        <v>140</v>
      </c>
      <c r="K22" s="10">
        <v>14</v>
      </c>
    </row>
    <row r="23" spans="1:21" x14ac:dyDescent="0.3">
      <c r="A23" s="7">
        <v>45817</v>
      </c>
      <c r="B23" s="10">
        <v>9</v>
      </c>
      <c r="E23" s="5" t="s">
        <v>145</v>
      </c>
      <c r="F23" t="s">
        <v>148</v>
      </c>
      <c r="J23" s="6" t="s">
        <v>146</v>
      </c>
      <c r="K23" s="10">
        <v>100</v>
      </c>
    </row>
    <row r="24" spans="1:21" x14ac:dyDescent="0.3">
      <c r="A24" s="7">
        <v>45818</v>
      </c>
      <c r="B24" s="10">
        <v>6</v>
      </c>
      <c r="E24" s="6" t="s">
        <v>136</v>
      </c>
      <c r="F24" s="10">
        <v>19</v>
      </c>
    </row>
    <row r="25" spans="1:21" x14ac:dyDescent="0.3">
      <c r="A25" s="7">
        <v>45819</v>
      </c>
      <c r="B25" s="10">
        <v>9</v>
      </c>
      <c r="E25" s="6" t="s">
        <v>137</v>
      </c>
      <c r="F25" s="10">
        <v>18</v>
      </c>
    </row>
    <row r="26" spans="1:21" x14ac:dyDescent="0.3">
      <c r="A26" s="7" t="s">
        <v>146</v>
      </c>
      <c r="B26" s="10">
        <v>100</v>
      </c>
      <c r="E26" s="6" t="s">
        <v>138</v>
      </c>
      <c r="F26" s="10">
        <v>9</v>
      </c>
      <c r="H26" s="5" t="s">
        <v>145</v>
      </c>
    </row>
    <row r="27" spans="1:21" x14ac:dyDescent="0.3">
      <c r="E27" s="6" t="s">
        <v>134</v>
      </c>
      <c r="F27" s="10">
        <v>16</v>
      </c>
      <c r="H27" s="6" t="s">
        <v>136</v>
      </c>
      <c r="P27" s="5" t="s">
        <v>145</v>
      </c>
      <c r="Q27" t="s">
        <v>148</v>
      </c>
      <c r="T27" s="5" t="s">
        <v>145</v>
      </c>
      <c r="U27" t="s">
        <v>148</v>
      </c>
    </row>
    <row r="28" spans="1:21" x14ac:dyDescent="0.3">
      <c r="E28" s="6" t="s">
        <v>139</v>
      </c>
      <c r="F28" s="10">
        <v>14</v>
      </c>
      <c r="H28" s="6" t="s">
        <v>137</v>
      </c>
      <c r="P28" s="6">
        <v>3</v>
      </c>
      <c r="Q28" s="10">
        <v>33</v>
      </c>
      <c r="T28" s="6" t="s">
        <v>150</v>
      </c>
      <c r="U28" s="10">
        <v>62</v>
      </c>
    </row>
    <row r="29" spans="1:21" x14ac:dyDescent="0.3">
      <c r="E29" s="6" t="s">
        <v>135</v>
      </c>
      <c r="F29" s="10">
        <v>10</v>
      </c>
      <c r="H29" s="6" t="s">
        <v>138</v>
      </c>
      <c r="P29" s="6">
        <v>4</v>
      </c>
      <c r="Q29" s="10">
        <v>32</v>
      </c>
      <c r="T29" s="6" t="s">
        <v>151</v>
      </c>
      <c r="U29" s="10">
        <v>38</v>
      </c>
    </row>
    <row r="30" spans="1:21" x14ac:dyDescent="0.3">
      <c r="E30" s="6" t="s">
        <v>140</v>
      </c>
      <c r="F30" s="10">
        <v>14</v>
      </c>
      <c r="H30" s="6" t="s">
        <v>134</v>
      </c>
      <c r="K30" s="5" t="s">
        <v>153</v>
      </c>
      <c r="P30" s="6">
        <v>5</v>
      </c>
      <c r="Q30" s="10">
        <v>25</v>
      </c>
      <c r="T30" s="6" t="s">
        <v>146</v>
      </c>
      <c r="U30" s="10">
        <v>100</v>
      </c>
    </row>
    <row r="31" spans="1:21" x14ac:dyDescent="0.3">
      <c r="E31" s="6" t="s">
        <v>146</v>
      </c>
      <c r="F31" s="10">
        <v>100</v>
      </c>
      <c r="H31" s="6" t="s">
        <v>139</v>
      </c>
      <c r="K31" s="6" t="s">
        <v>147</v>
      </c>
      <c r="L31" s="10">
        <v>105050</v>
      </c>
      <c r="P31" s="6" t="s">
        <v>141</v>
      </c>
      <c r="Q31" s="10">
        <v>10</v>
      </c>
    </row>
    <row r="32" spans="1:21" x14ac:dyDescent="0.3">
      <c r="H32" s="6" t="s">
        <v>135</v>
      </c>
      <c r="K32" s="6" t="s">
        <v>152</v>
      </c>
      <c r="L32" s="10">
        <v>100</v>
      </c>
      <c r="P32" s="6" t="s">
        <v>146</v>
      </c>
      <c r="Q32" s="10">
        <v>100</v>
      </c>
    </row>
    <row r="33" spans="8:17" x14ac:dyDescent="0.3">
      <c r="H33" s="6" t="s">
        <v>140</v>
      </c>
    </row>
    <row r="34" spans="8:17" x14ac:dyDescent="0.3">
      <c r="H34" s="6" t="s">
        <v>146</v>
      </c>
    </row>
    <row r="42" spans="8:17" x14ac:dyDescent="0.3">
      <c r="P42" s="5" t="s">
        <v>145</v>
      </c>
      <c r="Q42" t="s">
        <v>154</v>
      </c>
    </row>
    <row r="43" spans="8:17" x14ac:dyDescent="0.3">
      <c r="P43" s="6" t="s">
        <v>12</v>
      </c>
      <c r="Q43" s="10">
        <v>357</v>
      </c>
    </row>
    <row r="44" spans="8:17" x14ac:dyDescent="0.3">
      <c r="P44" s="6" t="s">
        <v>13</v>
      </c>
      <c r="Q44" s="10">
        <v>411</v>
      </c>
    </row>
    <row r="45" spans="8:17" x14ac:dyDescent="0.3">
      <c r="H45" s="5" t="s">
        <v>145</v>
      </c>
      <c r="I45" t="s">
        <v>156</v>
      </c>
      <c r="P45" s="6" t="s">
        <v>14</v>
      </c>
      <c r="Q45" s="10">
        <v>400</v>
      </c>
    </row>
    <row r="46" spans="8:17" x14ac:dyDescent="0.3">
      <c r="H46" s="6" t="s">
        <v>52</v>
      </c>
      <c r="I46">
        <v>1422</v>
      </c>
      <c r="P46" s="6" t="s">
        <v>15</v>
      </c>
      <c r="Q46" s="10">
        <v>215</v>
      </c>
    </row>
    <row r="47" spans="8:17" x14ac:dyDescent="0.3">
      <c r="H47" s="6" t="s">
        <v>66</v>
      </c>
      <c r="I47">
        <v>1383</v>
      </c>
      <c r="P47" s="6" t="s">
        <v>16</v>
      </c>
      <c r="Q47" s="10">
        <v>495</v>
      </c>
    </row>
    <row r="48" spans="8:17" x14ac:dyDescent="0.3">
      <c r="H48" s="6" t="s">
        <v>78</v>
      </c>
      <c r="I48">
        <v>1449</v>
      </c>
      <c r="P48" s="6" t="s">
        <v>17</v>
      </c>
      <c r="Q48" s="10">
        <v>364</v>
      </c>
    </row>
    <row r="49" spans="8:17" x14ac:dyDescent="0.3">
      <c r="H49" s="6" t="s">
        <v>86</v>
      </c>
      <c r="I49">
        <v>1473</v>
      </c>
      <c r="P49" s="6" t="s">
        <v>18</v>
      </c>
      <c r="Q49" s="10">
        <v>252</v>
      </c>
    </row>
    <row r="50" spans="8:17" x14ac:dyDescent="0.3">
      <c r="H50" s="6" t="s">
        <v>110</v>
      </c>
      <c r="I50">
        <v>1473</v>
      </c>
      <c r="P50" s="6" t="s">
        <v>19</v>
      </c>
      <c r="Q50" s="10">
        <v>221</v>
      </c>
    </row>
    <row r="51" spans="8:17" x14ac:dyDescent="0.3">
      <c r="H51" s="6" t="s">
        <v>146</v>
      </c>
      <c r="I51">
        <v>7200</v>
      </c>
      <c r="P51" s="6" t="s">
        <v>20</v>
      </c>
      <c r="Q51" s="10">
        <v>253</v>
      </c>
    </row>
    <row r="52" spans="8:17" x14ac:dyDescent="0.3">
      <c r="P52" s="6" t="s">
        <v>21</v>
      </c>
      <c r="Q52" s="10">
        <v>315</v>
      </c>
    </row>
    <row r="53" spans="8:17" x14ac:dyDescent="0.3">
      <c r="P53" s="6" t="s">
        <v>22</v>
      </c>
      <c r="Q53" s="10">
        <v>198</v>
      </c>
    </row>
    <row r="54" spans="8:17" x14ac:dyDescent="0.3">
      <c r="P54" s="6" t="s">
        <v>23</v>
      </c>
      <c r="Q54" s="10">
        <v>184</v>
      </c>
    </row>
    <row r="55" spans="8:17" x14ac:dyDescent="0.3">
      <c r="P55" s="6" t="s">
        <v>24</v>
      </c>
      <c r="Q55" s="10">
        <v>354</v>
      </c>
    </row>
    <row r="56" spans="8:17" x14ac:dyDescent="0.3">
      <c r="P56" s="6" t="s">
        <v>25</v>
      </c>
      <c r="Q56" s="10">
        <v>281</v>
      </c>
    </row>
    <row r="57" spans="8:17" x14ac:dyDescent="0.3">
      <c r="P57" s="6" t="s">
        <v>26</v>
      </c>
      <c r="Q57" s="10">
        <v>138</v>
      </c>
    </row>
    <row r="58" spans="8:17" x14ac:dyDescent="0.3">
      <c r="P58" s="6" t="s">
        <v>27</v>
      </c>
      <c r="Q58" s="10">
        <v>203</v>
      </c>
    </row>
    <row r="59" spans="8:17" x14ac:dyDescent="0.3">
      <c r="P59" s="6" t="s">
        <v>28</v>
      </c>
      <c r="Q59" s="10">
        <v>202</v>
      </c>
    </row>
    <row r="60" spans="8:17" x14ac:dyDescent="0.3">
      <c r="P60" s="6" t="s">
        <v>29</v>
      </c>
      <c r="Q60" s="10">
        <v>302</v>
      </c>
    </row>
    <row r="61" spans="8:17" x14ac:dyDescent="0.3">
      <c r="P61" s="6" t="s">
        <v>30</v>
      </c>
      <c r="Q61" s="10">
        <v>407</v>
      </c>
    </row>
    <row r="62" spans="8:17" x14ac:dyDescent="0.3">
      <c r="P62" s="6" t="s">
        <v>31</v>
      </c>
      <c r="Q62" s="10">
        <v>347</v>
      </c>
    </row>
    <row r="63" spans="8:17" x14ac:dyDescent="0.3">
      <c r="P63" s="6" t="s">
        <v>32</v>
      </c>
      <c r="Q63" s="10">
        <v>450</v>
      </c>
    </row>
    <row r="64" spans="8:17" x14ac:dyDescent="0.3">
      <c r="P64" s="6" t="s">
        <v>33</v>
      </c>
      <c r="Q64" s="10">
        <v>180</v>
      </c>
    </row>
    <row r="65" spans="16:17" x14ac:dyDescent="0.3">
      <c r="P65" s="6" t="s">
        <v>34</v>
      </c>
      <c r="Q65" s="10">
        <v>484</v>
      </c>
    </row>
    <row r="66" spans="16:17" x14ac:dyDescent="0.3">
      <c r="P66" s="6" t="s">
        <v>35</v>
      </c>
      <c r="Q66" s="10">
        <v>329</v>
      </c>
    </row>
    <row r="67" spans="16:17" x14ac:dyDescent="0.3">
      <c r="P67" s="6" t="s">
        <v>36</v>
      </c>
      <c r="Q67" s="10">
        <v>239</v>
      </c>
    </row>
    <row r="68" spans="16:17" x14ac:dyDescent="0.3">
      <c r="P68" s="6" t="s">
        <v>37</v>
      </c>
      <c r="Q68" s="10">
        <v>338</v>
      </c>
    </row>
    <row r="69" spans="16:17" x14ac:dyDescent="0.3">
      <c r="P69" s="6" t="s">
        <v>38</v>
      </c>
      <c r="Q69" s="10">
        <v>258</v>
      </c>
    </row>
    <row r="70" spans="16:17" x14ac:dyDescent="0.3">
      <c r="P70" s="6" t="s">
        <v>39</v>
      </c>
      <c r="Q70" s="10">
        <v>208</v>
      </c>
    </row>
    <row r="71" spans="16:17" x14ac:dyDescent="0.3">
      <c r="P71" s="6" t="s">
        <v>40</v>
      </c>
      <c r="Q71" s="10">
        <v>208</v>
      </c>
    </row>
    <row r="72" spans="16:17" x14ac:dyDescent="0.3">
      <c r="P72" s="6" t="s">
        <v>41</v>
      </c>
      <c r="Q72" s="10">
        <v>339</v>
      </c>
    </row>
    <row r="73" spans="16:17" x14ac:dyDescent="0.3">
      <c r="P73" s="6" t="s">
        <v>42</v>
      </c>
      <c r="Q73" s="10">
        <v>452</v>
      </c>
    </row>
    <row r="74" spans="16:17" x14ac:dyDescent="0.3">
      <c r="P74" s="6" t="s">
        <v>43</v>
      </c>
      <c r="Q74" s="10">
        <v>455</v>
      </c>
    </row>
    <row r="75" spans="16:17" x14ac:dyDescent="0.3">
      <c r="P75" s="6" t="s">
        <v>44</v>
      </c>
      <c r="Q75" s="10">
        <v>334</v>
      </c>
    </row>
    <row r="76" spans="16:17" x14ac:dyDescent="0.3">
      <c r="P76" s="6" t="s">
        <v>45</v>
      </c>
      <c r="Q76" s="10">
        <v>168</v>
      </c>
    </row>
    <row r="77" spans="16:17" x14ac:dyDescent="0.3">
      <c r="P77" s="6" t="s">
        <v>46</v>
      </c>
      <c r="Q77" s="10">
        <v>374</v>
      </c>
    </row>
    <row r="78" spans="16:17" x14ac:dyDescent="0.3">
      <c r="P78" s="6" t="s">
        <v>47</v>
      </c>
      <c r="Q78" s="10">
        <v>234</v>
      </c>
    </row>
    <row r="79" spans="16:17" x14ac:dyDescent="0.3">
      <c r="P79" s="6" t="s">
        <v>48</v>
      </c>
      <c r="Q79" s="10">
        <v>180</v>
      </c>
    </row>
    <row r="80" spans="16:17" x14ac:dyDescent="0.3">
      <c r="P80" s="6" t="s">
        <v>49</v>
      </c>
      <c r="Q80" s="10">
        <v>492</v>
      </c>
    </row>
    <row r="81" spans="16:17" x14ac:dyDescent="0.3">
      <c r="P81" s="6" t="s">
        <v>50</v>
      </c>
      <c r="Q81" s="10">
        <v>429</v>
      </c>
    </row>
    <row r="82" spans="16:17" x14ac:dyDescent="0.3">
      <c r="P82" s="6" t="s">
        <v>51</v>
      </c>
      <c r="Q82" s="10">
        <v>368</v>
      </c>
    </row>
    <row r="83" spans="16:17" x14ac:dyDescent="0.3">
      <c r="P83" s="6" t="s">
        <v>52</v>
      </c>
      <c r="Q83" s="10">
        <v>474</v>
      </c>
    </row>
    <row r="84" spans="16:17" x14ac:dyDescent="0.3">
      <c r="P84" s="6" t="s">
        <v>53</v>
      </c>
      <c r="Q84" s="10">
        <v>178</v>
      </c>
    </row>
    <row r="85" spans="16:17" x14ac:dyDescent="0.3">
      <c r="P85" s="6" t="s">
        <v>54</v>
      </c>
      <c r="Q85" s="10">
        <v>218</v>
      </c>
    </row>
    <row r="86" spans="16:17" x14ac:dyDescent="0.3">
      <c r="P86" s="6" t="s">
        <v>55</v>
      </c>
      <c r="Q86" s="10">
        <v>370</v>
      </c>
    </row>
    <row r="87" spans="16:17" x14ac:dyDescent="0.3">
      <c r="P87" s="6" t="s">
        <v>56</v>
      </c>
      <c r="Q87" s="10">
        <v>209</v>
      </c>
    </row>
    <row r="88" spans="16:17" x14ac:dyDescent="0.3">
      <c r="P88" s="6" t="s">
        <v>57</v>
      </c>
      <c r="Q88" s="10">
        <v>381</v>
      </c>
    </row>
    <row r="89" spans="16:17" x14ac:dyDescent="0.3">
      <c r="P89" s="6" t="s">
        <v>58</v>
      </c>
      <c r="Q89" s="10">
        <v>354</v>
      </c>
    </row>
    <row r="90" spans="16:17" x14ac:dyDescent="0.3">
      <c r="P90" s="6" t="s">
        <v>59</v>
      </c>
      <c r="Q90" s="10">
        <v>472</v>
      </c>
    </row>
    <row r="91" spans="16:17" x14ac:dyDescent="0.3">
      <c r="P91" s="6" t="s">
        <v>60</v>
      </c>
      <c r="Q91" s="10">
        <v>309</v>
      </c>
    </row>
    <row r="92" spans="16:17" x14ac:dyDescent="0.3">
      <c r="P92" s="6" t="s">
        <v>61</v>
      </c>
      <c r="Q92" s="10">
        <v>289</v>
      </c>
    </row>
    <row r="93" spans="16:17" x14ac:dyDescent="0.3">
      <c r="P93" s="6" t="s">
        <v>62</v>
      </c>
      <c r="Q93" s="10">
        <v>383</v>
      </c>
    </row>
    <row r="94" spans="16:17" x14ac:dyDescent="0.3">
      <c r="P94" s="6" t="s">
        <v>63</v>
      </c>
      <c r="Q94" s="10">
        <v>185</v>
      </c>
    </row>
    <row r="95" spans="16:17" x14ac:dyDescent="0.3">
      <c r="P95" s="6" t="s">
        <v>64</v>
      </c>
      <c r="Q95" s="10">
        <v>357</v>
      </c>
    </row>
    <row r="96" spans="16:17" x14ac:dyDescent="0.3">
      <c r="P96" s="6" t="s">
        <v>65</v>
      </c>
      <c r="Q96" s="10">
        <v>395</v>
      </c>
    </row>
    <row r="97" spans="16:17" x14ac:dyDescent="0.3">
      <c r="P97" s="6" t="s">
        <v>66</v>
      </c>
      <c r="Q97" s="10">
        <v>461</v>
      </c>
    </row>
    <row r="98" spans="16:17" x14ac:dyDescent="0.3">
      <c r="P98" s="6" t="s">
        <v>67</v>
      </c>
      <c r="Q98" s="10">
        <v>415</v>
      </c>
    </row>
    <row r="99" spans="16:17" x14ac:dyDescent="0.3">
      <c r="P99" s="6" t="s">
        <v>68</v>
      </c>
      <c r="Q99" s="10">
        <v>479</v>
      </c>
    </row>
    <row r="100" spans="16:17" x14ac:dyDescent="0.3">
      <c r="P100" s="6" t="s">
        <v>69</v>
      </c>
      <c r="Q100" s="10">
        <v>254</v>
      </c>
    </row>
    <row r="101" spans="16:17" x14ac:dyDescent="0.3">
      <c r="P101" s="6" t="s">
        <v>70</v>
      </c>
      <c r="Q101" s="10">
        <v>491</v>
      </c>
    </row>
    <row r="102" spans="16:17" x14ac:dyDescent="0.3">
      <c r="P102" s="6" t="s">
        <v>71</v>
      </c>
      <c r="Q102" s="10">
        <v>348</v>
      </c>
    </row>
    <row r="103" spans="16:17" x14ac:dyDescent="0.3">
      <c r="P103" s="6" t="s">
        <v>72</v>
      </c>
      <c r="Q103" s="10">
        <v>461</v>
      </c>
    </row>
    <row r="104" spans="16:17" x14ac:dyDescent="0.3">
      <c r="P104" s="6" t="s">
        <v>73</v>
      </c>
      <c r="Q104" s="10">
        <v>324</v>
      </c>
    </row>
    <row r="105" spans="16:17" x14ac:dyDescent="0.3">
      <c r="P105" s="6" t="s">
        <v>74</v>
      </c>
      <c r="Q105" s="10">
        <v>241</v>
      </c>
    </row>
    <row r="106" spans="16:17" x14ac:dyDescent="0.3">
      <c r="P106" s="6" t="s">
        <v>75</v>
      </c>
      <c r="Q106" s="10">
        <v>456</v>
      </c>
    </row>
    <row r="107" spans="16:17" x14ac:dyDescent="0.3">
      <c r="P107" s="6" t="s">
        <v>76</v>
      </c>
      <c r="Q107" s="10">
        <v>457</v>
      </c>
    </row>
    <row r="108" spans="16:17" x14ac:dyDescent="0.3">
      <c r="P108" s="6" t="s">
        <v>77</v>
      </c>
      <c r="Q108" s="10">
        <v>477</v>
      </c>
    </row>
    <row r="109" spans="16:17" x14ac:dyDescent="0.3">
      <c r="P109" s="6" t="s">
        <v>78</v>
      </c>
      <c r="Q109" s="10">
        <v>483</v>
      </c>
    </row>
    <row r="110" spans="16:17" x14ac:dyDescent="0.3">
      <c r="P110" s="6" t="s">
        <v>79</v>
      </c>
      <c r="Q110" s="10">
        <v>257</v>
      </c>
    </row>
    <row r="111" spans="16:17" x14ac:dyDescent="0.3">
      <c r="P111" s="6" t="s">
        <v>80</v>
      </c>
      <c r="Q111" s="10">
        <v>164</v>
      </c>
    </row>
    <row r="112" spans="16:17" x14ac:dyDescent="0.3">
      <c r="P112" s="6" t="s">
        <v>81</v>
      </c>
      <c r="Q112" s="10">
        <v>233</v>
      </c>
    </row>
    <row r="113" spans="16:17" x14ac:dyDescent="0.3">
      <c r="P113" s="6" t="s">
        <v>82</v>
      </c>
      <c r="Q113" s="10">
        <v>457</v>
      </c>
    </row>
    <row r="114" spans="16:17" x14ac:dyDescent="0.3">
      <c r="P114" s="6" t="s">
        <v>83</v>
      </c>
      <c r="Q114" s="10">
        <v>458</v>
      </c>
    </row>
    <row r="115" spans="16:17" x14ac:dyDescent="0.3">
      <c r="P115" s="6" t="s">
        <v>84</v>
      </c>
      <c r="Q115" s="10">
        <v>326</v>
      </c>
    </row>
    <row r="116" spans="16:17" x14ac:dyDescent="0.3">
      <c r="P116" s="6" t="s">
        <v>85</v>
      </c>
      <c r="Q116" s="10">
        <v>135</v>
      </c>
    </row>
    <row r="117" spans="16:17" x14ac:dyDescent="0.3">
      <c r="P117" s="6" t="s">
        <v>86</v>
      </c>
      <c r="Q117" s="10">
        <v>491</v>
      </c>
    </row>
    <row r="118" spans="16:17" x14ac:dyDescent="0.3">
      <c r="P118" s="6" t="s">
        <v>87</v>
      </c>
      <c r="Q118" s="10">
        <v>362</v>
      </c>
    </row>
    <row r="119" spans="16:17" x14ac:dyDescent="0.3">
      <c r="P119" s="6" t="s">
        <v>88</v>
      </c>
      <c r="Q119" s="10">
        <v>461</v>
      </c>
    </row>
    <row r="120" spans="16:17" x14ac:dyDescent="0.3">
      <c r="P120" s="6" t="s">
        <v>89</v>
      </c>
      <c r="Q120" s="10">
        <v>232</v>
      </c>
    </row>
    <row r="121" spans="16:17" x14ac:dyDescent="0.3">
      <c r="P121" s="6" t="s">
        <v>90</v>
      </c>
      <c r="Q121" s="10">
        <v>218</v>
      </c>
    </row>
    <row r="122" spans="16:17" x14ac:dyDescent="0.3">
      <c r="P122" s="6" t="s">
        <v>91</v>
      </c>
      <c r="Q122" s="10">
        <v>441</v>
      </c>
    </row>
    <row r="123" spans="16:17" x14ac:dyDescent="0.3">
      <c r="P123" s="6" t="s">
        <v>92</v>
      </c>
      <c r="Q123" s="10">
        <v>135</v>
      </c>
    </row>
    <row r="124" spans="16:17" x14ac:dyDescent="0.3">
      <c r="P124" s="6" t="s">
        <v>93</v>
      </c>
      <c r="Q124" s="10">
        <v>215</v>
      </c>
    </row>
    <row r="125" spans="16:17" x14ac:dyDescent="0.3">
      <c r="P125" s="6" t="s">
        <v>94</v>
      </c>
      <c r="Q125" s="10">
        <v>368</v>
      </c>
    </row>
    <row r="126" spans="16:17" x14ac:dyDescent="0.3">
      <c r="P126" s="6" t="s">
        <v>95</v>
      </c>
      <c r="Q126" s="10">
        <v>151</v>
      </c>
    </row>
    <row r="127" spans="16:17" x14ac:dyDescent="0.3">
      <c r="P127" s="6" t="s">
        <v>96</v>
      </c>
      <c r="Q127" s="10">
        <v>219</v>
      </c>
    </row>
    <row r="128" spans="16:17" x14ac:dyDescent="0.3">
      <c r="P128" s="6" t="s">
        <v>97</v>
      </c>
      <c r="Q128" s="10">
        <v>261</v>
      </c>
    </row>
    <row r="129" spans="16:17" x14ac:dyDescent="0.3">
      <c r="P129" s="6" t="s">
        <v>98</v>
      </c>
      <c r="Q129" s="10">
        <v>217</v>
      </c>
    </row>
    <row r="130" spans="16:17" x14ac:dyDescent="0.3">
      <c r="P130" s="6" t="s">
        <v>99</v>
      </c>
      <c r="Q130" s="10">
        <v>259</v>
      </c>
    </row>
    <row r="131" spans="16:17" x14ac:dyDescent="0.3">
      <c r="P131" s="6" t="s">
        <v>100</v>
      </c>
      <c r="Q131" s="10">
        <v>246</v>
      </c>
    </row>
    <row r="132" spans="16:17" x14ac:dyDescent="0.3">
      <c r="P132" s="6" t="s">
        <v>101</v>
      </c>
      <c r="Q132" s="10">
        <v>346</v>
      </c>
    </row>
    <row r="133" spans="16:17" x14ac:dyDescent="0.3">
      <c r="P133" s="6" t="s">
        <v>102</v>
      </c>
      <c r="Q133" s="10">
        <v>182</v>
      </c>
    </row>
    <row r="134" spans="16:17" x14ac:dyDescent="0.3">
      <c r="P134" s="6" t="s">
        <v>103</v>
      </c>
      <c r="Q134" s="10">
        <v>373</v>
      </c>
    </row>
    <row r="135" spans="16:17" x14ac:dyDescent="0.3">
      <c r="P135" s="6" t="s">
        <v>104</v>
      </c>
      <c r="Q135" s="10">
        <v>277</v>
      </c>
    </row>
    <row r="136" spans="16:17" x14ac:dyDescent="0.3">
      <c r="P136" s="6" t="s">
        <v>105</v>
      </c>
      <c r="Q136" s="10">
        <v>373</v>
      </c>
    </row>
    <row r="137" spans="16:17" x14ac:dyDescent="0.3">
      <c r="P137" s="6" t="s">
        <v>106</v>
      </c>
      <c r="Q137" s="10">
        <v>374</v>
      </c>
    </row>
    <row r="138" spans="16:17" x14ac:dyDescent="0.3">
      <c r="P138" s="6" t="s">
        <v>107</v>
      </c>
      <c r="Q138" s="10">
        <v>311</v>
      </c>
    </row>
    <row r="139" spans="16:17" x14ac:dyDescent="0.3">
      <c r="P139" s="6" t="s">
        <v>108</v>
      </c>
      <c r="Q139" s="10">
        <v>387</v>
      </c>
    </row>
    <row r="140" spans="16:17" x14ac:dyDescent="0.3">
      <c r="P140" s="6" t="s">
        <v>109</v>
      </c>
      <c r="Q140" s="10">
        <v>282</v>
      </c>
    </row>
    <row r="141" spans="16:17" x14ac:dyDescent="0.3">
      <c r="P141" s="6" t="s">
        <v>110</v>
      </c>
      <c r="Q141" s="10">
        <v>491</v>
      </c>
    </row>
    <row r="142" spans="16:17" x14ac:dyDescent="0.3">
      <c r="P142" s="6" t="s">
        <v>111</v>
      </c>
      <c r="Q142" s="10">
        <v>446</v>
      </c>
    </row>
    <row r="143" spans="16:17" x14ac:dyDescent="0.3">
      <c r="P143" s="6" t="s">
        <v>146</v>
      </c>
      <c r="Q143" s="10">
        <v>32487</v>
      </c>
    </row>
  </sheetData>
  <pageMargins left="0.7" right="0.7" top="0.75" bottom="0.75" header="0.3" footer="0.3"/>
  <drawing r:id="rId1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101"/>
  <sheetViews>
    <sheetView workbookViewId="0">
      <selection activeCell="E13" sqref="A1:M101"/>
    </sheetView>
  </sheetViews>
  <sheetFormatPr defaultRowHeight="14.4" x14ac:dyDescent="0.3"/>
  <cols>
    <col min="1" max="1" width="8.5546875" bestFit="1" customWidth="1"/>
    <col min="2" max="2" width="15.21875" bestFit="1" customWidth="1"/>
    <col min="3" max="4" width="10.6640625" bestFit="1" customWidth="1"/>
    <col min="5" max="5" width="13.21875" bestFit="1" customWidth="1"/>
    <col min="6" max="6" width="16.109375" bestFit="1" customWidth="1"/>
    <col min="7" max="7" width="8.33203125" bestFit="1" customWidth="1"/>
    <col min="8" max="8" width="13.88671875" bestFit="1" customWidth="1"/>
    <col min="9" max="9" width="14.109375" bestFit="1" customWidth="1"/>
    <col min="10" max="10" width="6.33203125" bestFit="1" customWidth="1"/>
    <col min="11" max="11" width="16.44140625" bestFit="1" customWidth="1"/>
    <col min="13" max="13" width="15.109375" bestFit="1" customWidth="1"/>
  </cols>
  <sheetData>
    <row r="1" spans="1:13" x14ac:dyDescent="0.3">
      <c r="A1" s="1" t="s">
        <v>0</v>
      </c>
      <c r="B1" s="1" t="s">
        <v>1</v>
      </c>
      <c r="C1" s="1" t="s">
        <v>2</v>
      </c>
      <c r="D1" s="1" t="s">
        <v>3</v>
      </c>
      <c r="E1" s="1" t="s">
        <v>4</v>
      </c>
      <c r="F1" s="1" t="s">
        <v>5</v>
      </c>
      <c r="G1" s="1" t="s">
        <v>6</v>
      </c>
      <c r="H1" s="1" t="s">
        <v>7</v>
      </c>
      <c r="I1" s="1" t="s">
        <v>8</v>
      </c>
      <c r="J1" s="1" t="s">
        <v>10</v>
      </c>
      <c r="K1" s="1" t="s">
        <v>11</v>
      </c>
      <c r="L1" s="8" t="s">
        <v>155</v>
      </c>
      <c r="M1" s="1" t="s">
        <v>9</v>
      </c>
    </row>
    <row r="2" spans="1:13" x14ac:dyDescent="0.3">
      <c r="A2">
        <v>1001</v>
      </c>
      <c r="B2" t="s">
        <v>12</v>
      </c>
      <c r="C2" t="s">
        <v>112</v>
      </c>
      <c r="D2" s="2">
        <v>45810</v>
      </c>
      <c r="E2" t="s">
        <v>116</v>
      </c>
      <c r="F2" t="s">
        <v>124</v>
      </c>
      <c r="G2">
        <v>3</v>
      </c>
      <c r="H2">
        <v>357</v>
      </c>
      <c r="I2" t="s">
        <v>132</v>
      </c>
      <c r="J2">
        <v>3</v>
      </c>
      <c r="K2" t="s">
        <v>142</v>
      </c>
      <c r="L2">
        <f>G2*H2</f>
        <v>1071</v>
      </c>
      <c r="M2" t="s">
        <v>150</v>
      </c>
    </row>
    <row r="3" spans="1:13" x14ac:dyDescent="0.3">
      <c r="A3">
        <v>1002</v>
      </c>
      <c r="B3" t="s">
        <v>13</v>
      </c>
      <c r="C3" t="s">
        <v>113</v>
      </c>
      <c r="D3" s="2">
        <v>45815</v>
      </c>
      <c r="E3" t="s">
        <v>117</v>
      </c>
      <c r="F3" t="s">
        <v>125</v>
      </c>
      <c r="G3">
        <v>1</v>
      </c>
      <c r="H3">
        <v>411</v>
      </c>
      <c r="I3" t="s">
        <v>133</v>
      </c>
      <c r="J3" t="s">
        <v>141</v>
      </c>
      <c r="K3" t="s">
        <v>142</v>
      </c>
      <c r="L3">
        <f t="shared" ref="L3:L66" si="0">G3*H3</f>
        <v>411</v>
      </c>
      <c r="M3" t="s">
        <v>151</v>
      </c>
    </row>
    <row r="4" spans="1:13" x14ac:dyDescent="0.3">
      <c r="A4">
        <v>1003</v>
      </c>
      <c r="B4" t="s">
        <v>14</v>
      </c>
      <c r="C4" t="s">
        <v>114</v>
      </c>
      <c r="D4" s="2">
        <v>45815</v>
      </c>
      <c r="E4" t="s">
        <v>118</v>
      </c>
      <c r="F4" t="s">
        <v>126</v>
      </c>
      <c r="G4">
        <v>2</v>
      </c>
      <c r="H4">
        <v>400</v>
      </c>
      <c r="I4" t="s">
        <v>132</v>
      </c>
      <c r="J4">
        <v>4</v>
      </c>
      <c r="K4" t="s">
        <v>142</v>
      </c>
      <c r="L4">
        <f t="shared" si="0"/>
        <v>800</v>
      </c>
      <c r="M4" t="s">
        <v>150</v>
      </c>
    </row>
    <row r="5" spans="1:13" x14ac:dyDescent="0.3">
      <c r="A5">
        <v>1004</v>
      </c>
      <c r="B5" t="s">
        <v>15</v>
      </c>
      <c r="C5" t="s">
        <v>113</v>
      </c>
      <c r="D5" s="2">
        <v>45809</v>
      </c>
      <c r="E5" t="s">
        <v>119</v>
      </c>
      <c r="F5" t="s">
        <v>127</v>
      </c>
      <c r="G5">
        <v>2</v>
      </c>
      <c r="H5">
        <v>215</v>
      </c>
      <c r="I5" t="s">
        <v>132</v>
      </c>
      <c r="J5">
        <v>4</v>
      </c>
      <c r="K5" t="s">
        <v>142</v>
      </c>
      <c r="L5">
        <f t="shared" si="0"/>
        <v>430</v>
      </c>
      <c r="M5" t="s">
        <v>150</v>
      </c>
    </row>
    <row r="6" spans="1:13" x14ac:dyDescent="0.3">
      <c r="A6">
        <v>1005</v>
      </c>
      <c r="B6" t="s">
        <v>16</v>
      </c>
      <c r="C6" t="s">
        <v>115</v>
      </c>
      <c r="D6" s="2">
        <v>45818</v>
      </c>
      <c r="E6" t="s">
        <v>116</v>
      </c>
      <c r="F6" t="s">
        <v>124</v>
      </c>
      <c r="G6">
        <v>1</v>
      </c>
      <c r="H6">
        <v>495</v>
      </c>
      <c r="I6" t="s">
        <v>132</v>
      </c>
      <c r="J6">
        <v>3</v>
      </c>
      <c r="K6" t="s">
        <v>143</v>
      </c>
      <c r="L6">
        <f t="shared" si="0"/>
        <v>495</v>
      </c>
      <c r="M6" t="s">
        <v>150</v>
      </c>
    </row>
    <row r="7" spans="1:13" x14ac:dyDescent="0.3">
      <c r="A7">
        <v>1006</v>
      </c>
      <c r="B7" t="s">
        <v>17</v>
      </c>
      <c r="C7" t="s">
        <v>115</v>
      </c>
      <c r="D7" s="2">
        <v>45818</v>
      </c>
      <c r="E7" t="s">
        <v>117</v>
      </c>
      <c r="F7" t="s">
        <v>125</v>
      </c>
      <c r="G7">
        <v>2</v>
      </c>
      <c r="H7">
        <v>364</v>
      </c>
      <c r="I7" t="s">
        <v>132</v>
      </c>
      <c r="J7">
        <v>4</v>
      </c>
      <c r="K7" t="s">
        <v>142</v>
      </c>
      <c r="L7">
        <f t="shared" si="0"/>
        <v>728</v>
      </c>
      <c r="M7" t="s">
        <v>150</v>
      </c>
    </row>
    <row r="8" spans="1:13" x14ac:dyDescent="0.3">
      <c r="A8">
        <v>1007</v>
      </c>
      <c r="B8" t="s">
        <v>18</v>
      </c>
      <c r="C8" t="s">
        <v>115</v>
      </c>
      <c r="D8" s="2">
        <v>45812</v>
      </c>
      <c r="E8" t="s">
        <v>120</v>
      </c>
      <c r="F8" t="s">
        <v>128</v>
      </c>
      <c r="G8">
        <v>3</v>
      </c>
      <c r="H8">
        <v>252</v>
      </c>
      <c r="I8" t="s">
        <v>132</v>
      </c>
      <c r="J8">
        <v>3</v>
      </c>
      <c r="K8" t="s">
        <v>143</v>
      </c>
      <c r="L8">
        <f t="shared" si="0"/>
        <v>756</v>
      </c>
      <c r="M8" t="s">
        <v>151</v>
      </c>
    </row>
    <row r="9" spans="1:13" x14ac:dyDescent="0.3">
      <c r="A9">
        <v>1008</v>
      </c>
      <c r="B9" t="s">
        <v>19</v>
      </c>
      <c r="C9" t="s">
        <v>112</v>
      </c>
      <c r="D9" s="2">
        <v>45818</v>
      </c>
      <c r="E9" t="s">
        <v>117</v>
      </c>
      <c r="F9" t="s">
        <v>125</v>
      </c>
      <c r="G9">
        <v>3</v>
      </c>
      <c r="H9">
        <v>221</v>
      </c>
      <c r="I9" t="s">
        <v>133</v>
      </c>
      <c r="J9" t="s">
        <v>141</v>
      </c>
      <c r="K9" t="s">
        <v>143</v>
      </c>
      <c r="L9">
        <f t="shared" si="0"/>
        <v>663</v>
      </c>
      <c r="M9" t="s">
        <v>150</v>
      </c>
    </row>
    <row r="10" spans="1:13" x14ac:dyDescent="0.3">
      <c r="A10">
        <v>1009</v>
      </c>
      <c r="B10" t="s">
        <v>20</v>
      </c>
      <c r="C10" t="s">
        <v>115</v>
      </c>
      <c r="D10" s="2">
        <v>45812</v>
      </c>
      <c r="E10" t="s">
        <v>116</v>
      </c>
      <c r="F10" t="s">
        <v>124</v>
      </c>
      <c r="G10">
        <v>1</v>
      </c>
      <c r="H10">
        <v>253</v>
      </c>
      <c r="I10" t="s">
        <v>132</v>
      </c>
      <c r="J10">
        <v>4</v>
      </c>
      <c r="K10" t="s">
        <v>143</v>
      </c>
      <c r="L10">
        <f t="shared" si="0"/>
        <v>253</v>
      </c>
      <c r="M10" t="s">
        <v>151</v>
      </c>
    </row>
    <row r="11" spans="1:13" x14ac:dyDescent="0.3">
      <c r="A11">
        <v>1010</v>
      </c>
      <c r="B11" t="s">
        <v>21</v>
      </c>
      <c r="C11" t="s">
        <v>112</v>
      </c>
      <c r="D11" s="2">
        <v>45817</v>
      </c>
      <c r="E11" t="s">
        <v>120</v>
      </c>
      <c r="F11" t="s">
        <v>128</v>
      </c>
      <c r="G11">
        <v>3</v>
      </c>
      <c r="H11">
        <v>315</v>
      </c>
      <c r="I11" t="s">
        <v>132</v>
      </c>
      <c r="J11">
        <v>4</v>
      </c>
      <c r="K11" t="s">
        <v>143</v>
      </c>
      <c r="L11">
        <f t="shared" si="0"/>
        <v>945</v>
      </c>
      <c r="M11" t="s">
        <v>150</v>
      </c>
    </row>
    <row r="12" spans="1:13" x14ac:dyDescent="0.3">
      <c r="A12">
        <v>1011</v>
      </c>
      <c r="B12" t="s">
        <v>22</v>
      </c>
      <c r="C12" t="s">
        <v>112</v>
      </c>
      <c r="D12" s="2">
        <v>45816</v>
      </c>
      <c r="E12" t="s">
        <v>121</v>
      </c>
      <c r="F12" t="s">
        <v>129</v>
      </c>
      <c r="G12">
        <v>2</v>
      </c>
      <c r="H12">
        <v>198</v>
      </c>
      <c r="I12" t="s">
        <v>132</v>
      </c>
      <c r="J12">
        <v>5</v>
      </c>
      <c r="K12" t="s">
        <v>142</v>
      </c>
      <c r="L12">
        <f t="shared" si="0"/>
        <v>396</v>
      </c>
      <c r="M12" t="s">
        <v>150</v>
      </c>
    </row>
    <row r="13" spans="1:13" x14ac:dyDescent="0.3">
      <c r="A13">
        <v>1012</v>
      </c>
      <c r="B13" t="s">
        <v>23</v>
      </c>
      <c r="C13" t="s">
        <v>112</v>
      </c>
      <c r="D13" s="2">
        <v>45815</v>
      </c>
      <c r="E13" t="s">
        <v>119</v>
      </c>
      <c r="F13" t="s">
        <v>127</v>
      </c>
      <c r="G13">
        <v>3</v>
      </c>
      <c r="H13">
        <v>184</v>
      </c>
      <c r="I13" t="s">
        <v>132</v>
      </c>
      <c r="J13">
        <v>4</v>
      </c>
      <c r="K13" t="s">
        <v>143</v>
      </c>
      <c r="L13">
        <f t="shared" si="0"/>
        <v>552</v>
      </c>
      <c r="M13" t="s">
        <v>151</v>
      </c>
    </row>
    <row r="14" spans="1:13" x14ac:dyDescent="0.3">
      <c r="A14">
        <v>1013</v>
      </c>
      <c r="B14" t="s">
        <v>24</v>
      </c>
      <c r="C14" t="s">
        <v>113</v>
      </c>
      <c r="D14" s="2">
        <v>45810</v>
      </c>
      <c r="E14" t="s">
        <v>120</v>
      </c>
      <c r="F14" t="s">
        <v>128</v>
      </c>
      <c r="G14">
        <v>2</v>
      </c>
      <c r="H14">
        <v>354</v>
      </c>
      <c r="I14" t="s">
        <v>132</v>
      </c>
      <c r="J14">
        <v>3</v>
      </c>
      <c r="K14" t="s">
        <v>143</v>
      </c>
      <c r="L14">
        <f t="shared" si="0"/>
        <v>708</v>
      </c>
      <c r="M14" t="s">
        <v>151</v>
      </c>
    </row>
    <row r="15" spans="1:13" x14ac:dyDescent="0.3">
      <c r="A15">
        <v>1014</v>
      </c>
      <c r="B15" t="s">
        <v>25</v>
      </c>
      <c r="C15" t="s">
        <v>114</v>
      </c>
      <c r="D15" s="2">
        <v>45816</v>
      </c>
      <c r="E15" t="s">
        <v>122</v>
      </c>
      <c r="F15" t="s">
        <v>130</v>
      </c>
      <c r="G15">
        <v>2</v>
      </c>
      <c r="H15">
        <v>281</v>
      </c>
      <c r="I15" t="s">
        <v>132</v>
      </c>
      <c r="J15">
        <v>5</v>
      </c>
      <c r="K15" t="s">
        <v>143</v>
      </c>
      <c r="L15">
        <f t="shared" si="0"/>
        <v>562</v>
      </c>
      <c r="M15" t="s">
        <v>150</v>
      </c>
    </row>
    <row r="16" spans="1:13" x14ac:dyDescent="0.3">
      <c r="A16">
        <v>1015</v>
      </c>
      <c r="B16" t="s">
        <v>26</v>
      </c>
      <c r="C16" t="s">
        <v>113</v>
      </c>
      <c r="D16" s="2">
        <v>45816</v>
      </c>
      <c r="E16" t="s">
        <v>116</v>
      </c>
      <c r="F16" t="s">
        <v>124</v>
      </c>
      <c r="G16">
        <v>3</v>
      </c>
      <c r="H16">
        <v>138</v>
      </c>
      <c r="I16" t="s">
        <v>132</v>
      </c>
      <c r="J16">
        <v>3</v>
      </c>
      <c r="K16" t="s">
        <v>142</v>
      </c>
      <c r="L16">
        <f t="shared" si="0"/>
        <v>414</v>
      </c>
      <c r="M16" t="s">
        <v>151</v>
      </c>
    </row>
    <row r="17" spans="1:13" x14ac:dyDescent="0.3">
      <c r="A17">
        <v>1016</v>
      </c>
      <c r="B17" t="s">
        <v>27</v>
      </c>
      <c r="C17" t="s">
        <v>114</v>
      </c>
      <c r="D17" s="2">
        <v>45809</v>
      </c>
      <c r="E17" t="s">
        <v>121</v>
      </c>
      <c r="F17" t="s">
        <v>129</v>
      </c>
      <c r="G17">
        <v>2</v>
      </c>
      <c r="H17">
        <v>203</v>
      </c>
      <c r="I17" t="s">
        <v>132</v>
      </c>
      <c r="J17">
        <v>3</v>
      </c>
      <c r="K17" t="s">
        <v>143</v>
      </c>
      <c r="L17">
        <f t="shared" si="0"/>
        <v>406</v>
      </c>
      <c r="M17" t="s">
        <v>150</v>
      </c>
    </row>
    <row r="18" spans="1:13" x14ac:dyDescent="0.3">
      <c r="A18">
        <v>1017</v>
      </c>
      <c r="B18" t="s">
        <v>28</v>
      </c>
      <c r="C18" t="s">
        <v>114</v>
      </c>
      <c r="D18" s="2">
        <v>45815</v>
      </c>
      <c r="E18" t="s">
        <v>120</v>
      </c>
      <c r="F18" t="s">
        <v>128</v>
      </c>
      <c r="G18">
        <v>3</v>
      </c>
      <c r="H18">
        <v>202</v>
      </c>
      <c r="I18" t="s">
        <v>132</v>
      </c>
      <c r="J18">
        <v>5</v>
      </c>
      <c r="K18" t="s">
        <v>142</v>
      </c>
      <c r="L18">
        <f t="shared" si="0"/>
        <v>606</v>
      </c>
      <c r="M18" t="s">
        <v>150</v>
      </c>
    </row>
    <row r="19" spans="1:13" x14ac:dyDescent="0.3">
      <c r="A19">
        <v>1018</v>
      </c>
      <c r="B19" t="s">
        <v>29</v>
      </c>
      <c r="C19" t="s">
        <v>115</v>
      </c>
      <c r="D19" s="2">
        <v>45819</v>
      </c>
      <c r="E19" t="s">
        <v>117</v>
      </c>
      <c r="F19" t="s">
        <v>125</v>
      </c>
      <c r="G19">
        <v>1</v>
      </c>
      <c r="H19">
        <v>302</v>
      </c>
      <c r="I19" t="s">
        <v>132</v>
      </c>
      <c r="J19">
        <v>3</v>
      </c>
      <c r="K19" t="s">
        <v>142</v>
      </c>
      <c r="L19">
        <f t="shared" si="0"/>
        <v>302</v>
      </c>
      <c r="M19" t="s">
        <v>150</v>
      </c>
    </row>
    <row r="20" spans="1:13" x14ac:dyDescent="0.3">
      <c r="A20">
        <v>1019</v>
      </c>
      <c r="B20" t="s">
        <v>30</v>
      </c>
      <c r="C20" t="s">
        <v>112</v>
      </c>
      <c r="D20" s="2">
        <v>45810</v>
      </c>
      <c r="E20" t="s">
        <v>119</v>
      </c>
      <c r="F20" t="s">
        <v>127</v>
      </c>
      <c r="G20">
        <v>3</v>
      </c>
      <c r="H20">
        <v>407</v>
      </c>
      <c r="I20" t="s">
        <v>132</v>
      </c>
      <c r="J20">
        <v>3</v>
      </c>
      <c r="K20" t="s">
        <v>143</v>
      </c>
      <c r="L20">
        <f t="shared" si="0"/>
        <v>1221</v>
      </c>
      <c r="M20" t="s">
        <v>150</v>
      </c>
    </row>
    <row r="21" spans="1:13" x14ac:dyDescent="0.3">
      <c r="A21">
        <v>1020</v>
      </c>
      <c r="B21" t="s">
        <v>31</v>
      </c>
      <c r="C21" t="s">
        <v>114</v>
      </c>
      <c r="D21" s="2">
        <v>45819</v>
      </c>
      <c r="E21" t="s">
        <v>120</v>
      </c>
      <c r="F21" t="s">
        <v>128</v>
      </c>
      <c r="G21">
        <v>1</v>
      </c>
      <c r="H21">
        <v>347</v>
      </c>
      <c r="I21" t="s">
        <v>132</v>
      </c>
      <c r="J21">
        <v>5</v>
      </c>
      <c r="K21" t="s">
        <v>143</v>
      </c>
      <c r="L21">
        <f t="shared" si="0"/>
        <v>347</v>
      </c>
      <c r="M21" t="s">
        <v>150</v>
      </c>
    </row>
    <row r="22" spans="1:13" x14ac:dyDescent="0.3">
      <c r="A22">
        <v>1021</v>
      </c>
      <c r="B22" t="s">
        <v>32</v>
      </c>
      <c r="C22" t="s">
        <v>114</v>
      </c>
      <c r="D22" s="2">
        <v>45817</v>
      </c>
      <c r="E22" t="s">
        <v>117</v>
      </c>
      <c r="F22" t="s">
        <v>125</v>
      </c>
      <c r="G22">
        <v>3</v>
      </c>
      <c r="H22">
        <v>450</v>
      </c>
      <c r="I22" t="s">
        <v>132</v>
      </c>
      <c r="J22">
        <v>5</v>
      </c>
      <c r="K22" t="s">
        <v>142</v>
      </c>
      <c r="L22">
        <f t="shared" si="0"/>
        <v>1350</v>
      </c>
      <c r="M22" t="s">
        <v>151</v>
      </c>
    </row>
    <row r="23" spans="1:13" x14ac:dyDescent="0.3">
      <c r="A23">
        <v>1022</v>
      </c>
      <c r="B23" t="s">
        <v>33</v>
      </c>
      <c r="C23" t="s">
        <v>114</v>
      </c>
      <c r="D23" s="2">
        <v>45810</v>
      </c>
      <c r="E23" t="s">
        <v>121</v>
      </c>
      <c r="F23" t="s">
        <v>129</v>
      </c>
      <c r="G23">
        <v>1</v>
      </c>
      <c r="H23">
        <v>180</v>
      </c>
      <c r="I23" t="s">
        <v>132</v>
      </c>
      <c r="J23">
        <v>3</v>
      </c>
      <c r="K23" t="s">
        <v>143</v>
      </c>
      <c r="L23">
        <f t="shared" si="0"/>
        <v>180</v>
      </c>
      <c r="M23" t="s">
        <v>150</v>
      </c>
    </row>
    <row r="24" spans="1:13" x14ac:dyDescent="0.3">
      <c r="A24">
        <v>1023</v>
      </c>
      <c r="B24" t="s">
        <v>34</v>
      </c>
      <c r="C24" t="s">
        <v>112</v>
      </c>
      <c r="D24" s="2">
        <v>45819</v>
      </c>
      <c r="E24" t="s">
        <v>120</v>
      </c>
      <c r="F24" t="s">
        <v>128</v>
      </c>
      <c r="G24">
        <v>2</v>
      </c>
      <c r="H24">
        <v>484</v>
      </c>
      <c r="I24" t="s">
        <v>132</v>
      </c>
      <c r="J24">
        <v>4</v>
      </c>
      <c r="K24" t="s">
        <v>142</v>
      </c>
      <c r="L24">
        <f t="shared" si="0"/>
        <v>968</v>
      </c>
      <c r="M24" t="s">
        <v>150</v>
      </c>
    </row>
    <row r="25" spans="1:13" x14ac:dyDescent="0.3">
      <c r="A25">
        <v>1024</v>
      </c>
      <c r="B25" t="s">
        <v>35</v>
      </c>
      <c r="C25" t="s">
        <v>112</v>
      </c>
      <c r="D25" s="2">
        <v>45816</v>
      </c>
      <c r="E25" t="s">
        <v>120</v>
      </c>
      <c r="F25" t="s">
        <v>128</v>
      </c>
      <c r="G25">
        <v>1</v>
      </c>
      <c r="H25">
        <v>329</v>
      </c>
      <c r="I25" t="s">
        <v>132</v>
      </c>
      <c r="J25">
        <v>4</v>
      </c>
      <c r="K25" t="s">
        <v>142</v>
      </c>
      <c r="L25">
        <f t="shared" si="0"/>
        <v>329</v>
      </c>
      <c r="M25" t="s">
        <v>150</v>
      </c>
    </row>
    <row r="26" spans="1:13" x14ac:dyDescent="0.3">
      <c r="A26">
        <v>1025</v>
      </c>
      <c r="B26" t="s">
        <v>36</v>
      </c>
      <c r="C26" t="s">
        <v>113</v>
      </c>
      <c r="D26" s="2">
        <v>45811</v>
      </c>
      <c r="E26" t="s">
        <v>117</v>
      </c>
      <c r="F26" t="s">
        <v>125</v>
      </c>
      <c r="G26">
        <v>1</v>
      </c>
      <c r="H26">
        <v>239</v>
      </c>
      <c r="I26" t="s">
        <v>132</v>
      </c>
      <c r="J26">
        <v>4</v>
      </c>
      <c r="K26" t="s">
        <v>143</v>
      </c>
      <c r="L26">
        <f t="shared" si="0"/>
        <v>239</v>
      </c>
      <c r="M26" t="s">
        <v>150</v>
      </c>
    </row>
    <row r="27" spans="1:13" x14ac:dyDescent="0.3">
      <c r="A27">
        <v>1026</v>
      </c>
      <c r="B27" t="s">
        <v>37</v>
      </c>
      <c r="C27" t="s">
        <v>114</v>
      </c>
      <c r="D27" s="2">
        <v>45810</v>
      </c>
      <c r="E27" t="s">
        <v>117</v>
      </c>
      <c r="F27" t="s">
        <v>125</v>
      </c>
      <c r="G27">
        <v>3</v>
      </c>
      <c r="H27">
        <v>338</v>
      </c>
      <c r="I27" t="s">
        <v>133</v>
      </c>
      <c r="J27" t="s">
        <v>141</v>
      </c>
      <c r="K27" t="s">
        <v>143</v>
      </c>
      <c r="L27">
        <f t="shared" si="0"/>
        <v>1014</v>
      </c>
      <c r="M27" t="s">
        <v>151</v>
      </c>
    </row>
    <row r="28" spans="1:13" x14ac:dyDescent="0.3">
      <c r="A28">
        <v>1027</v>
      </c>
      <c r="B28" t="s">
        <v>38</v>
      </c>
      <c r="C28" t="s">
        <v>113</v>
      </c>
      <c r="D28" s="2">
        <v>45819</v>
      </c>
      <c r="E28" t="s">
        <v>122</v>
      </c>
      <c r="F28" t="s">
        <v>130</v>
      </c>
      <c r="G28">
        <v>1</v>
      </c>
      <c r="H28">
        <v>258</v>
      </c>
      <c r="I28" t="s">
        <v>132</v>
      </c>
      <c r="J28">
        <v>5</v>
      </c>
      <c r="K28" t="s">
        <v>142</v>
      </c>
      <c r="L28">
        <f t="shared" si="0"/>
        <v>258</v>
      </c>
      <c r="M28" t="s">
        <v>150</v>
      </c>
    </row>
    <row r="29" spans="1:13" x14ac:dyDescent="0.3">
      <c r="A29">
        <v>1028</v>
      </c>
      <c r="B29" t="s">
        <v>39</v>
      </c>
      <c r="C29" t="s">
        <v>115</v>
      </c>
      <c r="D29" s="2">
        <v>45810</v>
      </c>
      <c r="E29" t="s">
        <v>121</v>
      </c>
      <c r="F29" t="s">
        <v>129</v>
      </c>
      <c r="G29">
        <v>2</v>
      </c>
      <c r="H29">
        <v>208</v>
      </c>
      <c r="I29" t="s">
        <v>132</v>
      </c>
      <c r="J29">
        <v>3</v>
      </c>
      <c r="K29" t="s">
        <v>143</v>
      </c>
      <c r="L29">
        <f t="shared" si="0"/>
        <v>416</v>
      </c>
      <c r="M29" t="s">
        <v>151</v>
      </c>
    </row>
    <row r="30" spans="1:13" x14ac:dyDescent="0.3">
      <c r="A30">
        <v>1029</v>
      </c>
      <c r="B30" t="s">
        <v>40</v>
      </c>
      <c r="C30" t="s">
        <v>115</v>
      </c>
      <c r="D30" s="2">
        <v>45812</v>
      </c>
      <c r="E30" t="s">
        <v>120</v>
      </c>
      <c r="F30" t="s">
        <v>128</v>
      </c>
      <c r="G30">
        <v>2</v>
      </c>
      <c r="H30">
        <v>208</v>
      </c>
      <c r="I30" t="s">
        <v>132</v>
      </c>
      <c r="J30">
        <v>4</v>
      </c>
      <c r="K30" t="s">
        <v>143</v>
      </c>
      <c r="L30">
        <f t="shared" si="0"/>
        <v>416</v>
      </c>
      <c r="M30" t="s">
        <v>150</v>
      </c>
    </row>
    <row r="31" spans="1:13" x14ac:dyDescent="0.3">
      <c r="A31">
        <v>1030</v>
      </c>
      <c r="B31" t="s">
        <v>41</v>
      </c>
      <c r="C31" t="s">
        <v>112</v>
      </c>
      <c r="D31" s="2">
        <v>45819</v>
      </c>
      <c r="E31" t="s">
        <v>117</v>
      </c>
      <c r="F31" t="s">
        <v>125</v>
      </c>
      <c r="G31">
        <v>1</v>
      </c>
      <c r="H31">
        <v>339</v>
      </c>
      <c r="I31" t="s">
        <v>132</v>
      </c>
      <c r="J31">
        <v>5</v>
      </c>
      <c r="K31" t="s">
        <v>142</v>
      </c>
      <c r="L31">
        <f t="shared" si="0"/>
        <v>339</v>
      </c>
      <c r="M31" t="s">
        <v>150</v>
      </c>
    </row>
    <row r="32" spans="1:13" x14ac:dyDescent="0.3">
      <c r="A32">
        <v>1031</v>
      </c>
      <c r="B32" t="s">
        <v>42</v>
      </c>
      <c r="C32" t="s">
        <v>114</v>
      </c>
      <c r="D32" s="2">
        <v>45816</v>
      </c>
      <c r="E32" t="s">
        <v>120</v>
      </c>
      <c r="F32" t="s">
        <v>128</v>
      </c>
      <c r="G32">
        <v>1</v>
      </c>
      <c r="H32">
        <v>452</v>
      </c>
      <c r="I32" t="s">
        <v>132</v>
      </c>
      <c r="J32">
        <v>5</v>
      </c>
      <c r="K32" t="s">
        <v>142</v>
      </c>
      <c r="L32">
        <f t="shared" si="0"/>
        <v>452</v>
      </c>
      <c r="M32" t="s">
        <v>151</v>
      </c>
    </row>
    <row r="33" spans="1:13" x14ac:dyDescent="0.3">
      <c r="A33">
        <v>1032</v>
      </c>
      <c r="B33" t="s">
        <v>43</v>
      </c>
      <c r="C33" t="s">
        <v>113</v>
      </c>
      <c r="D33" s="2">
        <v>45816</v>
      </c>
      <c r="E33" t="s">
        <v>118</v>
      </c>
      <c r="F33" t="s">
        <v>126</v>
      </c>
      <c r="G33">
        <v>3</v>
      </c>
      <c r="H33">
        <v>455</v>
      </c>
      <c r="I33" t="s">
        <v>132</v>
      </c>
      <c r="J33">
        <v>3</v>
      </c>
      <c r="K33" t="s">
        <v>142</v>
      </c>
      <c r="L33">
        <f t="shared" si="0"/>
        <v>1365</v>
      </c>
      <c r="M33" t="s">
        <v>151</v>
      </c>
    </row>
    <row r="34" spans="1:13" x14ac:dyDescent="0.3">
      <c r="A34">
        <v>1033</v>
      </c>
      <c r="B34" t="s">
        <v>44</v>
      </c>
      <c r="C34" t="s">
        <v>113</v>
      </c>
      <c r="D34" s="2">
        <v>45819</v>
      </c>
      <c r="E34" t="s">
        <v>116</v>
      </c>
      <c r="F34" t="s">
        <v>124</v>
      </c>
      <c r="G34">
        <v>3</v>
      </c>
      <c r="H34">
        <v>334</v>
      </c>
      <c r="I34" t="s">
        <v>132</v>
      </c>
      <c r="J34">
        <v>3</v>
      </c>
      <c r="K34" t="s">
        <v>142</v>
      </c>
      <c r="L34">
        <f t="shared" si="0"/>
        <v>1002</v>
      </c>
      <c r="M34" t="s">
        <v>151</v>
      </c>
    </row>
    <row r="35" spans="1:13" x14ac:dyDescent="0.3">
      <c r="A35">
        <v>1034</v>
      </c>
      <c r="B35" t="s">
        <v>45</v>
      </c>
      <c r="C35" t="s">
        <v>113</v>
      </c>
      <c r="D35" s="2">
        <v>45815</v>
      </c>
      <c r="E35" t="s">
        <v>119</v>
      </c>
      <c r="F35" t="s">
        <v>127</v>
      </c>
      <c r="G35">
        <v>1</v>
      </c>
      <c r="H35">
        <v>168</v>
      </c>
      <c r="I35" t="s">
        <v>132</v>
      </c>
      <c r="J35">
        <v>4</v>
      </c>
      <c r="K35" t="s">
        <v>142</v>
      </c>
      <c r="L35">
        <f t="shared" si="0"/>
        <v>168</v>
      </c>
      <c r="M35" t="s">
        <v>151</v>
      </c>
    </row>
    <row r="36" spans="1:13" x14ac:dyDescent="0.3">
      <c r="A36">
        <v>1035</v>
      </c>
      <c r="B36" t="s">
        <v>46</v>
      </c>
      <c r="C36" t="s">
        <v>113</v>
      </c>
      <c r="D36" s="2">
        <v>45816</v>
      </c>
      <c r="E36" t="s">
        <v>119</v>
      </c>
      <c r="F36" t="s">
        <v>127</v>
      </c>
      <c r="G36">
        <v>3</v>
      </c>
      <c r="H36">
        <v>374</v>
      </c>
      <c r="I36" t="s">
        <v>132</v>
      </c>
      <c r="J36">
        <v>3</v>
      </c>
      <c r="K36" t="s">
        <v>142</v>
      </c>
      <c r="L36">
        <f t="shared" si="0"/>
        <v>1122</v>
      </c>
      <c r="M36" t="s">
        <v>151</v>
      </c>
    </row>
    <row r="37" spans="1:13" x14ac:dyDescent="0.3">
      <c r="A37">
        <v>1036</v>
      </c>
      <c r="B37" t="s">
        <v>47</v>
      </c>
      <c r="C37" t="s">
        <v>114</v>
      </c>
      <c r="D37" s="2">
        <v>45810</v>
      </c>
      <c r="E37" t="s">
        <v>116</v>
      </c>
      <c r="F37" t="s">
        <v>124</v>
      </c>
      <c r="G37">
        <v>1</v>
      </c>
      <c r="H37">
        <v>234</v>
      </c>
      <c r="I37" t="s">
        <v>132</v>
      </c>
      <c r="J37">
        <v>3</v>
      </c>
      <c r="K37" t="s">
        <v>143</v>
      </c>
      <c r="L37">
        <f t="shared" si="0"/>
        <v>234</v>
      </c>
      <c r="M37" t="s">
        <v>151</v>
      </c>
    </row>
    <row r="38" spans="1:13" x14ac:dyDescent="0.3">
      <c r="A38">
        <v>1037</v>
      </c>
      <c r="B38" t="s">
        <v>48</v>
      </c>
      <c r="C38" t="s">
        <v>115</v>
      </c>
      <c r="D38" s="2">
        <v>45809</v>
      </c>
      <c r="E38" t="s">
        <v>117</v>
      </c>
      <c r="F38" t="s">
        <v>125</v>
      </c>
      <c r="G38">
        <v>3</v>
      </c>
      <c r="H38">
        <v>180</v>
      </c>
      <c r="I38" t="s">
        <v>132</v>
      </c>
      <c r="J38">
        <v>4</v>
      </c>
      <c r="K38" t="s">
        <v>143</v>
      </c>
      <c r="L38">
        <f t="shared" si="0"/>
        <v>540</v>
      </c>
      <c r="M38" t="s">
        <v>150</v>
      </c>
    </row>
    <row r="39" spans="1:13" x14ac:dyDescent="0.3">
      <c r="A39">
        <v>1038</v>
      </c>
      <c r="B39" t="s">
        <v>49</v>
      </c>
      <c r="C39" t="s">
        <v>113</v>
      </c>
      <c r="D39" s="2">
        <v>45816</v>
      </c>
      <c r="E39" t="s">
        <v>118</v>
      </c>
      <c r="F39" t="s">
        <v>126</v>
      </c>
      <c r="G39">
        <v>2</v>
      </c>
      <c r="H39">
        <v>492</v>
      </c>
      <c r="I39" t="s">
        <v>132</v>
      </c>
      <c r="J39">
        <v>4</v>
      </c>
      <c r="K39" t="s">
        <v>142</v>
      </c>
      <c r="L39">
        <f t="shared" si="0"/>
        <v>984</v>
      </c>
      <c r="M39" t="s">
        <v>150</v>
      </c>
    </row>
    <row r="40" spans="1:13" x14ac:dyDescent="0.3">
      <c r="A40">
        <v>1039</v>
      </c>
      <c r="B40" t="s">
        <v>50</v>
      </c>
      <c r="C40" t="s">
        <v>112</v>
      </c>
      <c r="D40" s="2">
        <v>45809</v>
      </c>
      <c r="E40" t="s">
        <v>118</v>
      </c>
      <c r="F40" t="s">
        <v>126</v>
      </c>
      <c r="G40">
        <v>2</v>
      </c>
      <c r="H40">
        <v>429</v>
      </c>
      <c r="I40" t="s">
        <v>132</v>
      </c>
      <c r="J40">
        <v>5</v>
      </c>
      <c r="K40" t="s">
        <v>142</v>
      </c>
      <c r="L40">
        <f t="shared" si="0"/>
        <v>858</v>
      </c>
      <c r="M40" t="s">
        <v>150</v>
      </c>
    </row>
    <row r="41" spans="1:13" x14ac:dyDescent="0.3">
      <c r="A41">
        <v>1040</v>
      </c>
      <c r="B41" t="s">
        <v>51</v>
      </c>
      <c r="C41" t="s">
        <v>113</v>
      </c>
      <c r="D41" s="2">
        <v>45809</v>
      </c>
      <c r="E41" t="s">
        <v>119</v>
      </c>
      <c r="F41" t="s">
        <v>127</v>
      </c>
      <c r="G41">
        <v>3</v>
      </c>
      <c r="H41">
        <v>368</v>
      </c>
      <c r="I41" t="s">
        <v>132</v>
      </c>
      <c r="J41">
        <v>3</v>
      </c>
      <c r="K41" t="s">
        <v>142</v>
      </c>
      <c r="L41">
        <f t="shared" si="0"/>
        <v>1104</v>
      </c>
      <c r="M41" t="s">
        <v>150</v>
      </c>
    </row>
    <row r="42" spans="1:13" x14ac:dyDescent="0.3">
      <c r="A42">
        <v>1041</v>
      </c>
      <c r="B42" t="s">
        <v>52</v>
      </c>
      <c r="C42" t="s">
        <v>114</v>
      </c>
      <c r="D42" s="2">
        <v>45813</v>
      </c>
      <c r="E42" t="s">
        <v>118</v>
      </c>
      <c r="F42" t="s">
        <v>126</v>
      </c>
      <c r="G42">
        <v>3</v>
      </c>
      <c r="H42">
        <v>474</v>
      </c>
      <c r="I42" t="s">
        <v>132</v>
      </c>
      <c r="J42">
        <v>3</v>
      </c>
      <c r="K42" t="s">
        <v>143</v>
      </c>
      <c r="L42">
        <f t="shared" si="0"/>
        <v>1422</v>
      </c>
      <c r="M42" t="s">
        <v>150</v>
      </c>
    </row>
    <row r="43" spans="1:13" x14ac:dyDescent="0.3">
      <c r="A43">
        <v>1042</v>
      </c>
      <c r="B43" t="s">
        <v>53</v>
      </c>
      <c r="C43" t="s">
        <v>113</v>
      </c>
      <c r="D43" s="2">
        <v>45813</v>
      </c>
      <c r="E43" t="s">
        <v>118</v>
      </c>
      <c r="F43" t="s">
        <v>126</v>
      </c>
      <c r="G43">
        <v>3</v>
      </c>
      <c r="H43">
        <v>178</v>
      </c>
      <c r="I43" t="s">
        <v>132</v>
      </c>
      <c r="J43">
        <v>4</v>
      </c>
      <c r="K43" t="s">
        <v>142</v>
      </c>
      <c r="L43">
        <f t="shared" si="0"/>
        <v>534</v>
      </c>
      <c r="M43" t="s">
        <v>150</v>
      </c>
    </row>
    <row r="44" spans="1:13" x14ac:dyDescent="0.3">
      <c r="A44">
        <v>1043</v>
      </c>
      <c r="B44" t="s">
        <v>54</v>
      </c>
      <c r="C44" t="s">
        <v>114</v>
      </c>
      <c r="D44" s="2">
        <v>45811</v>
      </c>
      <c r="E44" t="s">
        <v>116</v>
      </c>
      <c r="F44" t="s">
        <v>124</v>
      </c>
      <c r="G44">
        <v>3</v>
      </c>
      <c r="H44">
        <v>218</v>
      </c>
      <c r="I44" t="s">
        <v>132</v>
      </c>
      <c r="J44">
        <v>4</v>
      </c>
      <c r="K44" t="s">
        <v>142</v>
      </c>
      <c r="L44">
        <f t="shared" si="0"/>
        <v>654</v>
      </c>
      <c r="M44" t="s">
        <v>151</v>
      </c>
    </row>
    <row r="45" spans="1:13" x14ac:dyDescent="0.3">
      <c r="A45">
        <v>1044</v>
      </c>
      <c r="B45" t="s">
        <v>55</v>
      </c>
      <c r="C45" t="s">
        <v>112</v>
      </c>
      <c r="D45" s="2">
        <v>45814</v>
      </c>
      <c r="E45" t="s">
        <v>120</v>
      </c>
      <c r="F45" t="s">
        <v>128</v>
      </c>
      <c r="G45">
        <v>1</v>
      </c>
      <c r="H45">
        <v>370</v>
      </c>
      <c r="I45" t="s">
        <v>132</v>
      </c>
      <c r="J45">
        <v>4</v>
      </c>
      <c r="K45" t="s">
        <v>143</v>
      </c>
      <c r="L45">
        <f t="shared" si="0"/>
        <v>370</v>
      </c>
      <c r="M45" t="s">
        <v>151</v>
      </c>
    </row>
    <row r="46" spans="1:13" x14ac:dyDescent="0.3">
      <c r="A46">
        <v>1045</v>
      </c>
      <c r="B46" t="s">
        <v>56</v>
      </c>
      <c r="C46" t="s">
        <v>115</v>
      </c>
      <c r="D46" s="2">
        <v>45809</v>
      </c>
      <c r="E46" t="s">
        <v>117</v>
      </c>
      <c r="F46" t="s">
        <v>125</v>
      </c>
      <c r="G46">
        <v>3</v>
      </c>
      <c r="H46">
        <v>209</v>
      </c>
      <c r="I46" t="s">
        <v>132</v>
      </c>
      <c r="J46">
        <v>4</v>
      </c>
      <c r="K46" t="s">
        <v>143</v>
      </c>
      <c r="L46">
        <f t="shared" si="0"/>
        <v>627</v>
      </c>
      <c r="M46" t="s">
        <v>151</v>
      </c>
    </row>
    <row r="47" spans="1:13" x14ac:dyDescent="0.3">
      <c r="A47">
        <v>1046</v>
      </c>
      <c r="B47" t="s">
        <v>57</v>
      </c>
      <c r="C47" t="s">
        <v>113</v>
      </c>
      <c r="D47" s="2">
        <v>45809</v>
      </c>
      <c r="E47" t="s">
        <v>118</v>
      </c>
      <c r="F47" t="s">
        <v>126</v>
      </c>
      <c r="G47">
        <v>1</v>
      </c>
      <c r="H47">
        <v>381</v>
      </c>
      <c r="I47" t="s">
        <v>132</v>
      </c>
      <c r="J47">
        <v>5</v>
      </c>
      <c r="K47" t="s">
        <v>142</v>
      </c>
      <c r="L47">
        <f t="shared" si="0"/>
        <v>381</v>
      </c>
      <c r="M47" t="s">
        <v>151</v>
      </c>
    </row>
    <row r="48" spans="1:13" x14ac:dyDescent="0.3">
      <c r="A48">
        <v>1047</v>
      </c>
      <c r="B48" t="s">
        <v>58</v>
      </c>
      <c r="C48" t="s">
        <v>115</v>
      </c>
      <c r="D48" s="2">
        <v>45809</v>
      </c>
      <c r="E48" t="s">
        <v>123</v>
      </c>
      <c r="F48" t="s">
        <v>131</v>
      </c>
      <c r="G48">
        <v>1</v>
      </c>
      <c r="H48">
        <v>354</v>
      </c>
      <c r="I48" t="s">
        <v>132</v>
      </c>
      <c r="J48">
        <v>3</v>
      </c>
      <c r="K48" t="s">
        <v>143</v>
      </c>
      <c r="L48">
        <f t="shared" si="0"/>
        <v>354</v>
      </c>
      <c r="M48" t="s">
        <v>150</v>
      </c>
    </row>
    <row r="49" spans="1:13" x14ac:dyDescent="0.3">
      <c r="A49">
        <v>1048</v>
      </c>
      <c r="B49" t="s">
        <v>59</v>
      </c>
      <c r="C49" t="s">
        <v>113</v>
      </c>
      <c r="D49" s="2">
        <v>45816</v>
      </c>
      <c r="E49" t="s">
        <v>120</v>
      </c>
      <c r="F49" t="s">
        <v>128</v>
      </c>
      <c r="G49">
        <v>2</v>
      </c>
      <c r="H49">
        <v>472</v>
      </c>
      <c r="I49" t="s">
        <v>132</v>
      </c>
      <c r="J49">
        <v>5</v>
      </c>
      <c r="K49" t="s">
        <v>143</v>
      </c>
      <c r="L49">
        <f t="shared" si="0"/>
        <v>944</v>
      </c>
      <c r="M49" t="s">
        <v>151</v>
      </c>
    </row>
    <row r="50" spans="1:13" x14ac:dyDescent="0.3">
      <c r="A50">
        <v>1049</v>
      </c>
      <c r="B50" t="s">
        <v>60</v>
      </c>
      <c r="C50" t="s">
        <v>112</v>
      </c>
      <c r="D50" s="2">
        <v>45816</v>
      </c>
      <c r="E50" t="s">
        <v>117</v>
      </c>
      <c r="F50" t="s">
        <v>125</v>
      </c>
      <c r="G50">
        <v>1</v>
      </c>
      <c r="H50">
        <v>309</v>
      </c>
      <c r="I50" t="s">
        <v>132</v>
      </c>
      <c r="J50">
        <v>3</v>
      </c>
      <c r="K50" t="s">
        <v>143</v>
      </c>
      <c r="L50">
        <f t="shared" si="0"/>
        <v>309</v>
      </c>
      <c r="M50" t="s">
        <v>150</v>
      </c>
    </row>
    <row r="51" spans="1:13" x14ac:dyDescent="0.3">
      <c r="A51">
        <v>1050</v>
      </c>
      <c r="B51" t="s">
        <v>61</v>
      </c>
      <c r="C51" t="s">
        <v>115</v>
      </c>
      <c r="D51" s="2">
        <v>45813</v>
      </c>
      <c r="E51" t="s">
        <v>122</v>
      </c>
      <c r="F51" t="s">
        <v>130</v>
      </c>
      <c r="G51">
        <v>2</v>
      </c>
      <c r="H51">
        <v>289</v>
      </c>
      <c r="I51" t="s">
        <v>132</v>
      </c>
      <c r="J51">
        <v>5</v>
      </c>
      <c r="K51" t="s">
        <v>142</v>
      </c>
      <c r="L51">
        <f t="shared" si="0"/>
        <v>578</v>
      </c>
      <c r="M51" t="s">
        <v>150</v>
      </c>
    </row>
    <row r="52" spans="1:13" x14ac:dyDescent="0.3">
      <c r="A52">
        <v>1051</v>
      </c>
      <c r="B52" t="s">
        <v>62</v>
      </c>
      <c r="C52" t="s">
        <v>114</v>
      </c>
      <c r="D52" s="2">
        <v>45817</v>
      </c>
      <c r="E52" t="s">
        <v>116</v>
      </c>
      <c r="F52" t="s">
        <v>124</v>
      </c>
      <c r="G52">
        <v>1</v>
      </c>
      <c r="H52">
        <v>383</v>
      </c>
      <c r="I52" t="s">
        <v>132</v>
      </c>
      <c r="J52">
        <v>3</v>
      </c>
      <c r="K52" t="s">
        <v>143</v>
      </c>
      <c r="L52">
        <f t="shared" si="0"/>
        <v>383</v>
      </c>
      <c r="M52" t="s">
        <v>150</v>
      </c>
    </row>
    <row r="53" spans="1:13" x14ac:dyDescent="0.3">
      <c r="A53">
        <v>1052</v>
      </c>
      <c r="B53" t="s">
        <v>63</v>
      </c>
      <c r="C53" t="s">
        <v>112</v>
      </c>
      <c r="D53" s="2">
        <v>45810</v>
      </c>
      <c r="E53" t="s">
        <v>119</v>
      </c>
      <c r="F53" t="s">
        <v>127</v>
      </c>
      <c r="G53">
        <v>3</v>
      </c>
      <c r="H53">
        <v>185</v>
      </c>
      <c r="I53" t="s">
        <v>132</v>
      </c>
      <c r="J53">
        <v>4</v>
      </c>
      <c r="K53" t="s">
        <v>142</v>
      </c>
      <c r="L53">
        <f t="shared" si="0"/>
        <v>555</v>
      </c>
      <c r="M53" t="s">
        <v>151</v>
      </c>
    </row>
    <row r="54" spans="1:13" x14ac:dyDescent="0.3">
      <c r="A54">
        <v>1053</v>
      </c>
      <c r="B54" t="s">
        <v>64</v>
      </c>
      <c r="C54" t="s">
        <v>112</v>
      </c>
      <c r="D54" s="2">
        <v>45811</v>
      </c>
      <c r="E54" t="s">
        <v>121</v>
      </c>
      <c r="F54" t="s">
        <v>129</v>
      </c>
      <c r="G54">
        <v>3</v>
      </c>
      <c r="H54">
        <v>357</v>
      </c>
      <c r="I54" t="s">
        <v>132</v>
      </c>
      <c r="J54">
        <v>4</v>
      </c>
      <c r="K54" t="s">
        <v>143</v>
      </c>
      <c r="L54">
        <f t="shared" si="0"/>
        <v>1071</v>
      </c>
      <c r="M54" t="s">
        <v>151</v>
      </c>
    </row>
    <row r="55" spans="1:13" x14ac:dyDescent="0.3">
      <c r="A55">
        <v>1054</v>
      </c>
      <c r="B55" t="s">
        <v>65</v>
      </c>
      <c r="C55" t="s">
        <v>113</v>
      </c>
      <c r="D55" s="2">
        <v>45813</v>
      </c>
      <c r="E55" t="s">
        <v>119</v>
      </c>
      <c r="F55" t="s">
        <v>127</v>
      </c>
      <c r="G55">
        <v>1</v>
      </c>
      <c r="H55">
        <v>395</v>
      </c>
      <c r="I55" t="s">
        <v>132</v>
      </c>
      <c r="J55">
        <v>4</v>
      </c>
      <c r="K55" t="s">
        <v>143</v>
      </c>
      <c r="L55">
        <f t="shared" si="0"/>
        <v>395</v>
      </c>
      <c r="M55" t="s">
        <v>150</v>
      </c>
    </row>
    <row r="56" spans="1:13" x14ac:dyDescent="0.3">
      <c r="A56">
        <v>1055</v>
      </c>
      <c r="B56" t="s">
        <v>66</v>
      </c>
      <c r="C56" t="s">
        <v>115</v>
      </c>
      <c r="D56" s="2">
        <v>45813</v>
      </c>
      <c r="E56" t="s">
        <v>117</v>
      </c>
      <c r="F56" t="s">
        <v>125</v>
      </c>
      <c r="G56">
        <v>3</v>
      </c>
      <c r="H56">
        <v>461</v>
      </c>
      <c r="I56" t="s">
        <v>132</v>
      </c>
      <c r="J56">
        <v>5</v>
      </c>
      <c r="K56" t="s">
        <v>143</v>
      </c>
      <c r="L56">
        <f t="shared" si="0"/>
        <v>1383</v>
      </c>
      <c r="M56" t="s">
        <v>150</v>
      </c>
    </row>
    <row r="57" spans="1:13" x14ac:dyDescent="0.3">
      <c r="A57">
        <v>1056</v>
      </c>
      <c r="B57" t="s">
        <v>67</v>
      </c>
      <c r="C57" t="s">
        <v>113</v>
      </c>
      <c r="D57" s="2">
        <v>45817</v>
      </c>
      <c r="E57" t="s">
        <v>122</v>
      </c>
      <c r="F57" t="s">
        <v>130</v>
      </c>
      <c r="G57">
        <v>2</v>
      </c>
      <c r="H57">
        <v>415</v>
      </c>
      <c r="I57" t="s">
        <v>132</v>
      </c>
      <c r="J57">
        <v>5</v>
      </c>
      <c r="K57" t="s">
        <v>143</v>
      </c>
      <c r="L57">
        <f t="shared" si="0"/>
        <v>830</v>
      </c>
      <c r="M57" t="s">
        <v>151</v>
      </c>
    </row>
    <row r="58" spans="1:13" x14ac:dyDescent="0.3">
      <c r="A58">
        <v>1057</v>
      </c>
      <c r="B58" t="s">
        <v>68</v>
      </c>
      <c r="C58" t="s">
        <v>115</v>
      </c>
      <c r="D58" s="2">
        <v>45816</v>
      </c>
      <c r="E58" t="s">
        <v>122</v>
      </c>
      <c r="F58" t="s">
        <v>130</v>
      </c>
      <c r="G58">
        <v>2</v>
      </c>
      <c r="H58">
        <v>479</v>
      </c>
      <c r="I58" t="s">
        <v>133</v>
      </c>
      <c r="J58" t="s">
        <v>141</v>
      </c>
      <c r="K58" t="s">
        <v>143</v>
      </c>
      <c r="L58">
        <f t="shared" si="0"/>
        <v>958</v>
      </c>
      <c r="M58" t="s">
        <v>150</v>
      </c>
    </row>
    <row r="59" spans="1:13" x14ac:dyDescent="0.3">
      <c r="A59">
        <v>1058</v>
      </c>
      <c r="B59" t="s">
        <v>69</v>
      </c>
      <c r="C59" t="s">
        <v>114</v>
      </c>
      <c r="D59" s="2">
        <v>45819</v>
      </c>
      <c r="E59" t="s">
        <v>121</v>
      </c>
      <c r="F59" t="s">
        <v>129</v>
      </c>
      <c r="G59">
        <v>1</v>
      </c>
      <c r="H59">
        <v>254</v>
      </c>
      <c r="I59" t="s">
        <v>132</v>
      </c>
      <c r="J59">
        <v>5</v>
      </c>
      <c r="K59" t="s">
        <v>143</v>
      </c>
      <c r="L59">
        <f t="shared" si="0"/>
        <v>254</v>
      </c>
      <c r="M59" t="s">
        <v>150</v>
      </c>
    </row>
    <row r="60" spans="1:13" x14ac:dyDescent="0.3">
      <c r="A60">
        <v>1059</v>
      </c>
      <c r="B60" t="s">
        <v>70</v>
      </c>
      <c r="C60" t="s">
        <v>112</v>
      </c>
      <c r="D60" s="2">
        <v>45817</v>
      </c>
      <c r="E60" t="s">
        <v>121</v>
      </c>
      <c r="F60" t="s">
        <v>129</v>
      </c>
      <c r="G60">
        <v>2</v>
      </c>
      <c r="H60">
        <v>491</v>
      </c>
      <c r="I60" t="s">
        <v>133</v>
      </c>
      <c r="J60" t="s">
        <v>141</v>
      </c>
      <c r="K60" t="s">
        <v>143</v>
      </c>
      <c r="L60">
        <f t="shared" si="0"/>
        <v>982</v>
      </c>
      <c r="M60" t="s">
        <v>151</v>
      </c>
    </row>
    <row r="61" spans="1:13" x14ac:dyDescent="0.3">
      <c r="A61">
        <v>1060</v>
      </c>
      <c r="B61" t="s">
        <v>71</v>
      </c>
      <c r="C61" t="s">
        <v>115</v>
      </c>
      <c r="D61" s="2">
        <v>45815</v>
      </c>
      <c r="E61" t="s">
        <v>118</v>
      </c>
      <c r="F61" t="s">
        <v>126</v>
      </c>
      <c r="G61">
        <v>2</v>
      </c>
      <c r="H61">
        <v>348</v>
      </c>
      <c r="I61" t="s">
        <v>133</v>
      </c>
      <c r="J61" t="s">
        <v>141</v>
      </c>
      <c r="K61" t="s">
        <v>143</v>
      </c>
      <c r="L61">
        <f t="shared" si="0"/>
        <v>696</v>
      </c>
      <c r="M61" t="s">
        <v>150</v>
      </c>
    </row>
    <row r="62" spans="1:13" x14ac:dyDescent="0.3">
      <c r="A62">
        <v>1061</v>
      </c>
      <c r="B62" t="s">
        <v>72</v>
      </c>
      <c r="C62" t="s">
        <v>115</v>
      </c>
      <c r="D62" s="2">
        <v>45816</v>
      </c>
      <c r="E62" t="s">
        <v>121</v>
      </c>
      <c r="F62" t="s">
        <v>129</v>
      </c>
      <c r="G62">
        <v>1</v>
      </c>
      <c r="H62">
        <v>461</v>
      </c>
      <c r="I62" t="s">
        <v>132</v>
      </c>
      <c r="J62">
        <v>5</v>
      </c>
      <c r="K62" t="s">
        <v>142</v>
      </c>
      <c r="L62">
        <f t="shared" si="0"/>
        <v>461</v>
      </c>
      <c r="M62" t="s">
        <v>151</v>
      </c>
    </row>
    <row r="63" spans="1:13" x14ac:dyDescent="0.3">
      <c r="A63">
        <v>1062</v>
      </c>
      <c r="B63" t="s">
        <v>73</v>
      </c>
      <c r="C63" t="s">
        <v>112</v>
      </c>
      <c r="D63" s="2">
        <v>45814</v>
      </c>
      <c r="E63" t="s">
        <v>119</v>
      </c>
      <c r="F63" t="s">
        <v>127</v>
      </c>
      <c r="G63">
        <v>3</v>
      </c>
      <c r="H63">
        <v>324</v>
      </c>
      <c r="I63" t="s">
        <v>132</v>
      </c>
      <c r="J63">
        <v>5</v>
      </c>
      <c r="K63" t="s">
        <v>142</v>
      </c>
      <c r="L63">
        <f t="shared" si="0"/>
        <v>972</v>
      </c>
      <c r="M63" t="s">
        <v>151</v>
      </c>
    </row>
    <row r="64" spans="1:13" x14ac:dyDescent="0.3">
      <c r="A64">
        <v>1063</v>
      </c>
      <c r="B64" t="s">
        <v>74</v>
      </c>
      <c r="C64" t="s">
        <v>113</v>
      </c>
      <c r="D64" s="2">
        <v>45811</v>
      </c>
      <c r="E64" t="s">
        <v>123</v>
      </c>
      <c r="F64" t="s">
        <v>131</v>
      </c>
      <c r="G64">
        <v>1</v>
      </c>
      <c r="H64">
        <v>241</v>
      </c>
      <c r="I64" t="s">
        <v>132</v>
      </c>
      <c r="J64">
        <v>3</v>
      </c>
      <c r="K64" t="s">
        <v>143</v>
      </c>
      <c r="L64">
        <f t="shared" si="0"/>
        <v>241</v>
      </c>
      <c r="M64" t="s">
        <v>150</v>
      </c>
    </row>
    <row r="65" spans="1:13" x14ac:dyDescent="0.3">
      <c r="A65">
        <v>1064</v>
      </c>
      <c r="B65" t="s">
        <v>75</v>
      </c>
      <c r="C65" t="s">
        <v>115</v>
      </c>
      <c r="D65" s="2">
        <v>45814</v>
      </c>
      <c r="E65" t="s">
        <v>121</v>
      </c>
      <c r="F65" t="s">
        <v>129</v>
      </c>
      <c r="G65">
        <v>1</v>
      </c>
      <c r="H65">
        <v>456</v>
      </c>
      <c r="I65" t="s">
        <v>132</v>
      </c>
      <c r="J65">
        <v>3</v>
      </c>
      <c r="K65" t="s">
        <v>143</v>
      </c>
      <c r="L65">
        <f t="shared" si="0"/>
        <v>456</v>
      </c>
      <c r="M65" t="s">
        <v>151</v>
      </c>
    </row>
    <row r="66" spans="1:13" x14ac:dyDescent="0.3">
      <c r="A66">
        <v>1065</v>
      </c>
      <c r="B66" t="s">
        <v>76</v>
      </c>
      <c r="C66" t="s">
        <v>113</v>
      </c>
      <c r="D66" s="2">
        <v>45816</v>
      </c>
      <c r="E66" t="s">
        <v>119</v>
      </c>
      <c r="F66" t="s">
        <v>127</v>
      </c>
      <c r="G66">
        <v>3</v>
      </c>
      <c r="H66">
        <v>457</v>
      </c>
      <c r="I66" t="s">
        <v>132</v>
      </c>
      <c r="J66">
        <v>3</v>
      </c>
      <c r="K66" t="s">
        <v>142</v>
      </c>
      <c r="L66">
        <f t="shared" si="0"/>
        <v>1371</v>
      </c>
      <c r="M66" t="s">
        <v>150</v>
      </c>
    </row>
    <row r="67" spans="1:13" x14ac:dyDescent="0.3">
      <c r="A67">
        <v>1066</v>
      </c>
      <c r="B67" t="s">
        <v>77</v>
      </c>
      <c r="C67" t="s">
        <v>113</v>
      </c>
      <c r="D67" s="2">
        <v>45815</v>
      </c>
      <c r="E67" t="s">
        <v>119</v>
      </c>
      <c r="F67" t="s">
        <v>127</v>
      </c>
      <c r="G67">
        <v>2</v>
      </c>
      <c r="H67">
        <v>477</v>
      </c>
      <c r="I67" t="s">
        <v>132</v>
      </c>
      <c r="J67">
        <v>3</v>
      </c>
      <c r="K67" t="s">
        <v>143</v>
      </c>
      <c r="L67">
        <f t="shared" ref="L67:L101" si="1">G67*H67</f>
        <v>954</v>
      </c>
      <c r="M67" t="s">
        <v>150</v>
      </c>
    </row>
    <row r="68" spans="1:13" x14ac:dyDescent="0.3">
      <c r="A68">
        <v>1067</v>
      </c>
      <c r="B68" t="s">
        <v>78</v>
      </c>
      <c r="C68" t="s">
        <v>112</v>
      </c>
      <c r="D68" s="2">
        <v>45810</v>
      </c>
      <c r="E68" t="s">
        <v>116</v>
      </c>
      <c r="F68" t="s">
        <v>124</v>
      </c>
      <c r="G68">
        <v>3</v>
      </c>
      <c r="H68">
        <v>483</v>
      </c>
      <c r="I68" t="s">
        <v>132</v>
      </c>
      <c r="J68">
        <v>5</v>
      </c>
      <c r="K68" t="s">
        <v>143</v>
      </c>
      <c r="L68">
        <f t="shared" si="1"/>
        <v>1449</v>
      </c>
      <c r="M68" t="s">
        <v>150</v>
      </c>
    </row>
    <row r="69" spans="1:13" x14ac:dyDescent="0.3">
      <c r="A69">
        <v>1068</v>
      </c>
      <c r="B69" t="s">
        <v>79</v>
      </c>
      <c r="C69" t="s">
        <v>112</v>
      </c>
      <c r="D69" s="2">
        <v>45814</v>
      </c>
      <c r="E69" t="s">
        <v>122</v>
      </c>
      <c r="F69" t="s">
        <v>130</v>
      </c>
      <c r="G69">
        <v>2</v>
      </c>
      <c r="H69">
        <v>257</v>
      </c>
      <c r="I69" t="s">
        <v>132</v>
      </c>
      <c r="J69">
        <v>4</v>
      </c>
      <c r="K69" t="s">
        <v>143</v>
      </c>
      <c r="L69">
        <f t="shared" si="1"/>
        <v>514</v>
      </c>
      <c r="M69" t="s">
        <v>150</v>
      </c>
    </row>
    <row r="70" spans="1:13" x14ac:dyDescent="0.3">
      <c r="A70">
        <v>1069</v>
      </c>
      <c r="B70" t="s">
        <v>80</v>
      </c>
      <c r="C70" t="s">
        <v>113</v>
      </c>
      <c r="D70" s="2">
        <v>45817</v>
      </c>
      <c r="E70" t="s">
        <v>117</v>
      </c>
      <c r="F70" t="s">
        <v>125</v>
      </c>
      <c r="G70">
        <v>1</v>
      </c>
      <c r="H70">
        <v>164</v>
      </c>
      <c r="I70" t="s">
        <v>132</v>
      </c>
      <c r="J70">
        <v>3</v>
      </c>
      <c r="K70" t="s">
        <v>142</v>
      </c>
      <c r="L70">
        <f t="shared" si="1"/>
        <v>164</v>
      </c>
      <c r="M70" t="s">
        <v>150</v>
      </c>
    </row>
    <row r="71" spans="1:13" x14ac:dyDescent="0.3">
      <c r="A71">
        <v>1070</v>
      </c>
      <c r="B71" t="s">
        <v>81</v>
      </c>
      <c r="C71" t="s">
        <v>114</v>
      </c>
      <c r="D71" s="2">
        <v>45812</v>
      </c>
      <c r="E71" t="s">
        <v>119</v>
      </c>
      <c r="F71" t="s">
        <v>127</v>
      </c>
      <c r="G71">
        <v>2</v>
      </c>
      <c r="H71">
        <v>233</v>
      </c>
      <c r="I71" t="s">
        <v>132</v>
      </c>
      <c r="J71">
        <v>5</v>
      </c>
      <c r="K71" t="s">
        <v>142</v>
      </c>
      <c r="L71">
        <f t="shared" si="1"/>
        <v>466</v>
      </c>
      <c r="M71" t="s">
        <v>150</v>
      </c>
    </row>
    <row r="72" spans="1:13" x14ac:dyDescent="0.3">
      <c r="A72">
        <v>1071</v>
      </c>
      <c r="B72" t="s">
        <v>82</v>
      </c>
      <c r="C72" t="s">
        <v>114</v>
      </c>
      <c r="D72" s="2">
        <v>45811</v>
      </c>
      <c r="E72" t="s">
        <v>123</v>
      </c>
      <c r="F72" t="s">
        <v>131</v>
      </c>
      <c r="G72">
        <v>3</v>
      </c>
      <c r="H72">
        <v>457</v>
      </c>
      <c r="I72" t="s">
        <v>132</v>
      </c>
      <c r="J72">
        <v>4</v>
      </c>
      <c r="K72" t="s">
        <v>142</v>
      </c>
      <c r="L72">
        <f t="shared" si="1"/>
        <v>1371</v>
      </c>
      <c r="M72" t="s">
        <v>151</v>
      </c>
    </row>
    <row r="73" spans="1:13" x14ac:dyDescent="0.3">
      <c r="A73">
        <v>1072</v>
      </c>
      <c r="B73" t="s">
        <v>83</v>
      </c>
      <c r="C73" t="s">
        <v>113</v>
      </c>
      <c r="D73" s="2">
        <v>45809</v>
      </c>
      <c r="E73" t="s">
        <v>116</v>
      </c>
      <c r="F73" t="s">
        <v>124</v>
      </c>
      <c r="G73">
        <v>1</v>
      </c>
      <c r="H73">
        <v>458</v>
      </c>
      <c r="I73" t="s">
        <v>132</v>
      </c>
      <c r="J73">
        <v>4</v>
      </c>
      <c r="K73" t="s">
        <v>143</v>
      </c>
      <c r="L73">
        <f t="shared" si="1"/>
        <v>458</v>
      </c>
      <c r="M73" t="s">
        <v>150</v>
      </c>
    </row>
    <row r="74" spans="1:13" x14ac:dyDescent="0.3">
      <c r="A74">
        <v>1073</v>
      </c>
      <c r="B74" t="s">
        <v>84</v>
      </c>
      <c r="C74" t="s">
        <v>115</v>
      </c>
      <c r="D74" s="2">
        <v>45809</v>
      </c>
      <c r="E74" t="s">
        <v>122</v>
      </c>
      <c r="F74" t="s">
        <v>130</v>
      </c>
      <c r="G74">
        <v>1</v>
      </c>
      <c r="H74">
        <v>326</v>
      </c>
      <c r="I74" t="s">
        <v>132</v>
      </c>
      <c r="J74">
        <v>3</v>
      </c>
      <c r="K74" t="s">
        <v>142</v>
      </c>
      <c r="L74">
        <f t="shared" si="1"/>
        <v>326</v>
      </c>
      <c r="M74" t="s">
        <v>150</v>
      </c>
    </row>
    <row r="75" spans="1:13" x14ac:dyDescent="0.3">
      <c r="A75">
        <v>1074</v>
      </c>
      <c r="B75" t="s">
        <v>85</v>
      </c>
      <c r="C75" t="s">
        <v>112</v>
      </c>
      <c r="D75" s="2">
        <v>45810</v>
      </c>
      <c r="E75" t="s">
        <v>117</v>
      </c>
      <c r="F75" t="s">
        <v>125</v>
      </c>
      <c r="G75">
        <v>3</v>
      </c>
      <c r="H75">
        <v>135</v>
      </c>
      <c r="I75" t="s">
        <v>133</v>
      </c>
      <c r="J75" t="s">
        <v>141</v>
      </c>
      <c r="K75" t="s">
        <v>142</v>
      </c>
      <c r="L75">
        <f t="shared" si="1"/>
        <v>405</v>
      </c>
      <c r="M75" t="s">
        <v>150</v>
      </c>
    </row>
    <row r="76" spans="1:13" x14ac:dyDescent="0.3">
      <c r="A76">
        <v>1075</v>
      </c>
      <c r="B76" t="s">
        <v>86</v>
      </c>
      <c r="C76" t="s">
        <v>113</v>
      </c>
      <c r="D76" s="2">
        <v>45809</v>
      </c>
      <c r="E76" t="s">
        <v>123</v>
      </c>
      <c r="F76" t="s">
        <v>131</v>
      </c>
      <c r="G76">
        <v>3</v>
      </c>
      <c r="H76">
        <v>491</v>
      </c>
      <c r="I76" t="s">
        <v>132</v>
      </c>
      <c r="J76">
        <v>5</v>
      </c>
      <c r="K76" t="s">
        <v>142</v>
      </c>
      <c r="L76">
        <f t="shared" si="1"/>
        <v>1473</v>
      </c>
      <c r="M76" t="s">
        <v>151</v>
      </c>
    </row>
    <row r="77" spans="1:13" x14ac:dyDescent="0.3">
      <c r="A77">
        <v>1076</v>
      </c>
      <c r="B77" t="s">
        <v>87</v>
      </c>
      <c r="C77" t="s">
        <v>114</v>
      </c>
      <c r="D77" s="2">
        <v>45810</v>
      </c>
      <c r="E77" t="s">
        <v>122</v>
      </c>
      <c r="F77" t="s">
        <v>130</v>
      </c>
      <c r="G77">
        <v>2</v>
      </c>
      <c r="H77">
        <v>362</v>
      </c>
      <c r="I77" t="s">
        <v>132</v>
      </c>
      <c r="J77">
        <v>5</v>
      </c>
      <c r="K77" t="s">
        <v>142</v>
      </c>
      <c r="L77">
        <f t="shared" si="1"/>
        <v>724</v>
      </c>
      <c r="M77" t="s">
        <v>150</v>
      </c>
    </row>
    <row r="78" spans="1:13" x14ac:dyDescent="0.3">
      <c r="A78">
        <v>1077</v>
      </c>
      <c r="B78" t="s">
        <v>88</v>
      </c>
      <c r="C78" t="s">
        <v>114</v>
      </c>
      <c r="D78" s="2">
        <v>45811</v>
      </c>
      <c r="E78" t="s">
        <v>121</v>
      </c>
      <c r="F78" t="s">
        <v>129</v>
      </c>
      <c r="G78">
        <v>1</v>
      </c>
      <c r="H78">
        <v>461</v>
      </c>
      <c r="I78" t="s">
        <v>132</v>
      </c>
      <c r="J78">
        <v>3</v>
      </c>
      <c r="K78" t="s">
        <v>142</v>
      </c>
      <c r="L78">
        <f t="shared" si="1"/>
        <v>461</v>
      </c>
      <c r="M78" t="s">
        <v>151</v>
      </c>
    </row>
    <row r="79" spans="1:13" x14ac:dyDescent="0.3">
      <c r="A79">
        <v>1078</v>
      </c>
      <c r="B79" t="s">
        <v>89</v>
      </c>
      <c r="C79" t="s">
        <v>112</v>
      </c>
      <c r="D79" s="2">
        <v>45818</v>
      </c>
      <c r="E79" t="s">
        <v>123</v>
      </c>
      <c r="F79" t="s">
        <v>131</v>
      </c>
      <c r="G79">
        <v>3</v>
      </c>
      <c r="H79">
        <v>232</v>
      </c>
      <c r="I79" t="s">
        <v>132</v>
      </c>
      <c r="J79">
        <v>4</v>
      </c>
      <c r="K79" t="s">
        <v>143</v>
      </c>
      <c r="L79">
        <f t="shared" si="1"/>
        <v>696</v>
      </c>
      <c r="M79" t="s">
        <v>151</v>
      </c>
    </row>
    <row r="80" spans="1:13" x14ac:dyDescent="0.3">
      <c r="A80">
        <v>1079</v>
      </c>
      <c r="B80" t="s">
        <v>90</v>
      </c>
      <c r="C80" t="s">
        <v>112</v>
      </c>
      <c r="D80" s="2">
        <v>45811</v>
      </c>
      <c r="E80" t="s">
        <v>123</v>
      </c>
      <c r="F80" t="s">
        <v>131</v>
      </c>
      <c r="G80">
        <v>1</v>
      </c>
      <c r="H80">
        <v>218</v>
      </c>
      <c r="I80" t="s">
        <v>132</v>
      </c>
      <c r="J80">
        <v>4</v>
      </c>
      <c r="K80" t="s">
        <v>143</v>
      </c>
      <c r="L80">
        <f t="shared" si="1"/>
        <v>218</v>
      </c>
      <c r="M80" t="s">
        <v>150</v>
      </c>
    </row>
    <row r="81" spans="1:13" x14ac:dyDescent="0.3">
      <c r="A81">
        <v>1080</v>
      </c>
      <c r="B81" t="s">
        <v>91</v>
      </c>
      <c r="C81" t="s">
        <v>114</v>
      </c>
      <c r="D81" s="2">
        <v>45814</v>
      </c>
      <c r="E81" t="s">
        <v>116</v>
      </c>
      <c r="F81" t="s">
        <v>124</v>
      </c>
      <c r="G81">
        <v>1</v>
      </c>
      <c r="H81">
        <v>441</v>
      </c>
      <c r="I81" t="s">
        <v>132</v>
      </c>
      <c r="J81">
        <v>3</v>
      </c>
      <c r="K81" t="s">
        <v>142</v>
      </c>
      <c r="L81">
        <f t="shared" si="1"/>
        <v>441</v>
      </c>
      <c r="M81" t="s">
        <v>150</v>
      </c>
    </row>
    <row r="82" spans="1:13" x14ac:dyDescent="0.3">
      <c r="A82">
        <v>1081</v>
      </c>
      <c r="B82" t="s">
        <v>92</v>
      </c>
      <c r="C82" t="s">
        <v>113</v>
      </c>
      <c r="D82" s="2">
        <v>45818</v>
      </c>
      <c r="E82" t="s">
        <v>116</v>
      </c>
      <c r="F82" t="s">
        <v>124</v>
      </c>
      <c r="G82">
        <v>1</v>
      </c>
      <c r="H82">
        <v>135</v>
      </c>
      <c r="I82" t="s">
        <v>133</v>
      </c>
      <c r="J82" t="s">
        <v>141</v>
      </c>
      <c r="K82" t="s">
        <v>143</v>
      </c>
      <c r="L82">
        <f t="shared" si="1"/>
        <v>135</v>
      </c>
      <c r="M82" t="s">
        <v>150</v>
      </c>
    </row>
    <row r="83" spans="1:13" x14ac:dyDescent="0.3">
      <c r="A83">
        <v>1082</v>
      </c>
      <c r="B83" t="s">
        <v>93</v>
      </c>
      <c r="C83" t="s">
        <v>114</v>
      </c>
      <c r="D83" s="2">
        <v>45815</v>
      </c>
      <c r="E83" t="s">
        <v>116</v>
      </c>
      <c r="F83" t="s">
        <v>124</v>
      </c>
      <c r="G83">
        <v>2</v>
      </c>
      <c r="H83">
        <v>215</v>
      </c>
      <c r="I83" t="s">
        <v>132</v>
      </c>
      <c r="J83">
        <v>5</v>
      </c>
      <c r="K83" t="s">
        <v>143</v>
      </c>
      <c r="L83">
        <f t="shared" si="1"/>
        <v>430</v>
      </c>
      <c r="M83" t="s">
        <v>150</v>
      </c>
    </row>
    <row r="84" spans="1:13" x14ac:dyDescent="0.3">
      <c r="A84">
        <v>1083</v>
      </c>
      <c r="B84" t="s">
        <v>94</v>
      </c>
      <c r="C84" t="s">
        <v>114</v>
      </c>
      <c r="D84" s="2">
        <v>45813</v>
      </c>
      <c r="E84" t="s">
        <v>118</v>
      </c>
      <c r="F84" t="s">
        <v>126</v>
      </c>
      <c r="G84">
        <v>2</v>
      </c>
      <c r="H84">
        <v>368</v>
      </c>
      <c r="I84" t="s">
        <v>133</v>
      </c>
      <c r="J84" t="s">
        <v>141</v>
      </c>
      <c r="K84" t="s">
        <v>142</v>
      </c>
      <c r="L84">
        <f t="shared" si="1"/>
        <v>736</v>
      </c>
      <c r="M84" t="s">
        <v>150</v>
      </c>
    </row>
    <row r="85" spans="1:13" x14ac:dyDescent="0.3">
      <c r="A85">
        <v>1084</v>
      </c>
      <c r="B85" t="s">
        <v>95</v>
      </c>
      <c r="C85" t="s">
        <v>112</v>
      </c>
      <c r="D85" s="2">
        <v>45813</v>
      </c>
      <c r="E85" t="s">
        <v>120</v>
      </c>
      <c r="F85" t="s">
        <v>128</v>
      </c>
      <c r="G85">
        <v>3</v>
      </c>
      <c r="H85">
        <v>151</v>
      </c>
      <c r="I85" t="s">
        <v>132</v>
      </c>
      <c r="J85">
        <v>4</v>
      </c>
      <c r="K85" t="s">
        <v>143</v>
      </c>
      <c r="L85">
        <f t="shared" si="1"/>
        <v>453</v>
      </c>
      <c r="M85" t="s">
        <v>151</v>
      </c>
    </row>
    <row r="86" spans="1:13" x14ac:dyDescent="0.3">
      <c r="A86">
        <v>1085</v>
      </c>
      <c r="B86" t="s">
        <v>96</v>
      </c>
      <c r="C86" t="s">
        <v>115</v>
      </c>
      <c r="D86" s="2">
        <v>45811</v>
      </c>
      <c r="E86" t="s">
        <v>120</v>
      </c>
      <c r="F86" t="s">
        <v>128</v>
      </c>
      <c r="G86">
        <v>1</v>
      </c>
      <c r="H86">
        <v>219</v>
      </c>
      <c r="I86" t="s">
        <v>132</v>
      </c>
      <c r="J86">
        <v>4</v>
      </c>
      <c r="K86" t="s">
        <v>143</v>
      </c>
      <c r="L86">
        <f t="shared" si="1"/>
        <v>219</v>
      </c>
      <c r="M86" t="s">
        <v>150</v>
      </c>
    </row>
    <row r="87" spans="1:13" x14ac:dyDescent="0.3">
      <c r="A87">
        <v>1086</v>
      </c>
      <c r="B87" t="s">
        <v>97</v>
      </c>
      <c r="C87" t="s">
        <v>112</v>
      </c>
      <c r="D87" s="2">
        <v>45814</v>
      </c>
      <c r="E87" t="s">
        <v>123</v>
      </c>
      <c r="F87" t="s">
        <v>131</v>
      </c>
      <c r="G87">
        <v>2</v>
      </c>
      <c r="H87">
        <v>261</v>
      </c>
      <c r="I87" t="s">
        <v>132</v>
      </c>
      <c r="J87">
        <v>3</v>
      </c>
      <c r="K87" t="s">
        <v>142</v>
      </c>
      <c r="L87">
        <f t="shared" si="1"/>
        <v>522</v>
      </c>
      <c r="M87" t="s">
        <v>150</v>
      </c>
    </row>
    <row r="88" spans="1:13" x14ac:dyDescent="0.3">
      <c r="A88">
        <v>1087</v>
      </c>
      <c r="B88" t="s">
        <v>98</v>
      </c>
      <c r="C88" t="s">
        <v>113</v>
      </c>
      <c r="D88" s="2">
        <v>45819</v>
      </c>
      <c r="E88" t="s">
        <v>117</v>
      </c>
      <c r="F88" t="s">
        <v>125</v>
      </c>
      <c r="G88">
        <v>2</v>
      </c>
      <c r="H88">
        <v>217</v>
      </c>
      <c r="I88" t="s">
        <v>132</v>
      </c>
      <c r="J88">
        <v>5</v>
      </c>
      <c r="K88" t="s">
        <v>143</v>
      </c>
      <c r="L88">
        <f t="shared" si="1"/>
        <v>434</v>
      </c>
      <c r="M88" t="s">
        <v>151</v>
      </c>
    </row>
    <row r="89" spans="1:13" x14ac:dyDescent="0.3">
      <c r="A89">
        <v>1088</v>
      </c>
      <c r="B89" t="s">
        <v>99</v>
      </c>
      <c r="C89" t="s">
        <v>114</v>
      </c>
      <c r="D89" s="2">
        <v>45810</v>
      </c>
      <c r="E89" t="s">
        <v>117</v>
      </c>
      <c r="F89" t="s">
        <v>125</v>
      </c>
      <c r="G89">
        <v>2</v>
      </c>
      <c r="H89">
        <v>259</v>
      </c>
      <c r="I89" t="s">
        <v>132</v>
      </c>
      <c r="J89">
        <v>3</v>
      </c>
      <c r="K89" t="s">
        <v>143</v>
      </c>
      <c r="L89">
        <f t="shared" si="1"/>
        <v>518</v>
      </c>
      <c r="M89" t="s">
        <v>150</v>
      </c>
    </row>
    <row r="90" spans="1:13" x14ac:dyDescent="0.3">
      <c r="A90">
        <v>1089</v>
      </c>
      <c r="B90" t="s">
        <v>100</v>
      </c>
      <c r="C90" t="s">
        <v>113</v>
      </c>
      <c r="D90" s="2">
        <v>45818</v>
      </c>
      <c r="E90" t="s">
        <v>119</v>
      </c>
      <c r="F90" t="s">
        <v>127</v>
      </c>
      <c r="G90">
        <v>3</v>
      </c>
      <c r="H90">
        <v>246</v>
      </c>
      <c r="I90" t="s">
        <v>132</v>
      </c>
      <c r="J90">
        <v>4</v>
      </c>
      <c r="K90" t="s">
        <v>142</v>
      </c>
      <c r="L90">
        <f t="shared" si="1"/>
        <v>738</v>
      </c>
      <c r="M90" t="s">
        <v>150</v>
      </c>
    </row>
    <row r="91" spans="1:13" x14ac:dyDescent="0.3">
      <c r="A91">
        <v>1090</v>
      </c>
      <c r="B91" t="s">
        <v>101</v>
      </c>
      <c r="C91" t="s">
        <v>114</v>
      </c>
      <c r="D91" s="2">
        <v>45819</v>
      </c>
      <c r="E91" t="s">
        <v>121</v>
      </c>
      <c r="F91" t="s">
        <v>129</v>
      </c>
      <c r="G91">
        <v>1</v>
      </c>
      <c r="H91">
        <v>346</v>
      </c>
      <c r="I91" t="s">
        <v>132</v>
      </c>
      <c r="J91">
        <v>3</v>
      </c>
      <c r="K91" t="s">
        <v>142</v>
      </c>
      <c r="L91">
        <f t="shared" si="1"/>
        <v>346</v>
      </c>
      <c r="M91" t="s">
        <v>151</v>
      </c>
    </row>
    <row r="92" spans="1:13" x14ac:dyDescent="0.3">
      <c r="A92">
        <v>1091</v>
      </c>
      <c r="B92" t="s">
        <v>102</v>
      </c>
      <c r="C92" t="s">
        <v>113</v>
      </c>
      <c r="D92" s="2">
        <v>45811</v>
      </c>
      <c r="E92" t="s">
        <v>119</v>
      </c>
      <c r="F92" t="s">
        <v>127</v>
      </c>
      <c r="G92">
        <v>1</v>
      </c>
      <c r="H92">
        <v>182</v>
      </c>
      <c r="I92" t="s">
        <v>133</v>
      </c>
      <c r="J92" t="s">
        <v>141</v>
      </c>
      <c r="K92" t="s">
        <v>143</v>
      </c>
      <c r="L92">
        <f t="shared" si="1"/>
        <v>182</v>
      </c>
      <c r="M92" t="s">
        <v>150</v>
      </c>
    </row>
    <row r="93" spans="1:13" x14ac:dyDescent="0.3">
      <c r="A93">
        <v>1092</v>
      </c>
      <c r="B93" t="s">
        <v>103</v>
      </c>
      <c r="C93" t="s">
        <v>115</v>
      </c>
      <c r="D93" s="2">
        <v>45814</v>
      </c>
      <c r="E93" t="s">
        <v>122</v>
      </c>
      <c r="F93" t="s">
        <v>130</v>
      </c>
      <c r="G93">
        <v>1</v>
      </c>
      <c r="H93">
        <v>373</v>
      </c>
      <c r="I93" t="s">
        <v>132</v>
      </c>
      <c r="J93">
        <v>5</v>
      </c>
      <c r="K93" t="s">
        <v>143</v>
      </c>
      <c r="L93">
        <f t="shared" si="1"/>
        <v>373</v>
      </c>
      <c r="M93" t="s">
        <v>150</v>
      </c>
    </row>
    <row r="94" spans="1:13" x14ac:dyDescent="0.3">
      <c r="A94">
        <v>1093</v>
      </c>
      <c r="B94" t="s">
        <v>104</v>
      </c>
      <c r="C94" t="s">
        <v>112</v>
      </c>
      <c r="D94" s="2">
        <v>45813</v>
      </c>
      <c r="E94" t="s">
        <v>118</v>
      </c>
      <c r="F94" t="s">
        <v>126</v>
      </c>
      <c r="G94">
        <v>2</v>
      </c>
      <c r="H94">
        <v>277</v>
      </c>
      <c r="I94" t="s">
        <v>132</v>
      </c>
      <c r="J94">
        <v>4</v>
      </c>
      <c r="K94" t="s">
        <v>142</v>
      </c>
      <c r="L94">
        <f t="shared" si="1"/>
        <v>554</v>
      </c>
      <c r="M94" t="s">
        <v>150</v>
      </c>
    </row>
    <row r="95" spans="1:13" x14ac:dyDescent="0.3">
      <c r="A95">
        <v>1094</v>
      </c>
      <c r="B95" t="s">
        <v>105</v>
      </c>
      <c r="C95" t="s">
        <v>115</v>
      </c>
      <c r="D95" s="2">
        <v>45817</v>
      </c>
      <c r="E95" t="s">
        <v>120</v>
      </c>
      <c r="F95" t="s">
        <v>128</v>
      </c>
      <c r="G95">
        <v>1</v>
      </c>
      <c r="H95">
        <v>373</v>
      </c>
      <c r="I95" t="s">
        <v>132</v>
      </c>
      <c r="J95">
        <v>4</v>
      </c>
      <c r="K95" t="s">
        <v>142</v>
      </c>
      <c r="L95">
        <f t="shared" si="1"/>
        <v>373</v>
      </c>
      <c r="M95" t="s">
        <v>150</v>
      </c>
    </row>
    <row r="96" spans="1:13" x14ac:dyDescent="0.3">
      <c r="A96">
        <v>1095</v>
      </c>
      <c r="B96" t="s">
        <v>106</v>
      </c>
      <c r="C96" t="s">
        <v>114</v>
      </c>
      <c r="D96" s="2">
        <v>45811</v>
      </c>
      <c r="E96" t="s">
        <v>120</v>
      </c>
      <c r="F96" t="s">
        <v>128</v>
      </c>
      <c r="G96">
        <v>1</v>
      </c>
      <c r="H96">
        <v>374</v>
      </c>
      <c r="I96" t="s">
        <v>132</v>
      </c>
      <c r="J96">
        <v>3</v>
      </c>
      <c r="K96" t="s">
        <v>143</v>
      </c>
      <c r="L96">
        <f t="shared" si="1"/>
        <v>374</v>
      </c>
      <c r="M96" t="s">
        <v>150</v>
      </c>
    </row>
    <row r="97" spans="1:13" x14ac:dyDescent="0.3">
      <c r="A97">
        <v>1096</v>
      </c>
      <c r="B97" t="s">
        <v>107</v>
      </c>
      <c r="C97" t="s">
        <v>114</v>
      </c>
      <c r="D97" s="2">
        <v>45813</v>
      </c>
      <c r="E97" t="s">
        <v>119</v>
      </c>
      <c r="F97" t="s">
        <v>127</v>
      </c>
      <c r="G97">
        <v>3</v>
      </c>
      <c r="H97">
        <v>311</v>
      </c>
      <c r="I97" t="s">
        <v>132</v>
      </c>
      <c r="J97">
        <v>3</v>
      </c>
      <c r="K97" t="s">
        <v>142</v>
      </c>
      <c r="L97">
        <f t="shared" si="1"/>
        <v>933</v>
      </c>
      <c r="M97" t="s">
        <v>150</v>
      </c>
    </row>
    <row r="98" spans="1:13" x14ac:dyDescent="0.3">
      <c r="A98">
        <v>1097</v>
      </c>
      <c r="B98" t="s">
        <v>108</v>
      </c>
      <c r="C98" t="s">
        <v>112</v>
      </c>
      <c r="D98" s="2">
        <v>45813</v>
      </c>
      <c r="E98" t="s">
        <v>120</v>
      </c>
      <c r="F98" t="s">
        <v>128</v>
      </c>
      <c r="G98">
        <v>3</v>
      </c>
      <c r="H98">
        <v>387</v>
      </c>
      <c r="I98" t="s">
        <v>132</v>
      </c>
      <c r="J98">
        <v>4</v>
      </c>
      <c r="K98" t="s">
        <v>142</v>
      </c>
      <c r="L98">
        <f t="shared" si="1"/>
        <v>1161</v>
      </c>
      <c r="M98" t="s">
        <v>151</v>
      </c>
    </row>
    <row r="99" spans="1:13" x14ac:dyDescent="0.3">
      <c r="A99">
        <v>1098</v>
      </c>
      <c r="B99" t="s">
        <v>109</v>
      </c>
      <c r="C99" t="s">
        <v>114</v>
      </c>
      <c r="D99" s="2">
        <v>45813</v>
      </c>
      <c r="E99" t="s">
        <v>122</v>
      </c>
      <c r="F99" t="s">
        <v>130</v>
      </c>
      <c r="G99">
        <v>2</v>
      </c>
      <c r="H99">
        <v>282</v>
      </c>
      <c r="I99" t="s">
        <v>132</v>
      </c>
      <c r="J99">
        <v>4</v>
      </c>
      <c r="K99" t="s">
        <v>143</v>
      </c>
      <c r="L99">
        <f t="shared" si="1"/>
        <v>564</v>
      </c>
      <c r="M99" t="s">
        <v>151</v>
      </c>
    </row>
    <row r="100" spans="1:13" x14ac:dyDescent="0.3">
      <c r="A100">
        <v>1099</v>
      </c>
      <c r="B100" t="s">
        <v>110</v>
      </c>
      <c r="C100" t="s">
        <v>112</v>
      </c>
      <c r="D100" s="2">
        <v>45817</v>
      </c>
      <c r="E100" t="s">
        <v>120</v>
      </c>
      <c r="F100" t="s">
        <v>128</v>
      </c>
      <c r="G100">
        <v>3</v>
      </c>
      <c r="H100">
        <v>491</v>
      </c>
      <c r="I100" t="s">
        <v>132</v>
      </c>
      <c r="J100">
        <v>3</v>
      </c>
      <c r="K100" t="s">
        <v>142</v>
      </c>
      <c r="L100">
        <f t="shared" si="1"/>
        <v>1473</v>
      </c>
      <c r="M100" t="s">
        <v>151</v>
      </c>
    </row>
    <row r="101" spans="1:13" x14ac:dyDescent="0.3">
      <c r="A101">
        <v>1100</v>
      </c>
      <c r="B101" t="s">
        <v>111</v>
      </c>
      <c r="C101" t="s">
        <v>115</v>
      </c>
      <c r="D101" s="2">
        <v>45817</v>
      </c>
      <c r="E101" t="s">
        <v>122</v>
      </c>
      <c r="F101" t="s">
        <v>130</v>
      </c>
      <c r="G101">
        <v>1</v>
      </c>
      <c r="H101">
        <v>446</v>
      </c>
      <c r="I101" t="s">
        <v>132</v>
      </c>
      <c r="J101">
        <v>5</v>
      </c>
      <c r="K101" t="s">
        <v>142</v>
      </c>
      <c r="L101">
        <f t="shared" si="1"/>
        <v>446</v>
      </c>
      <c r="M101" t="s">
        <v>151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9843E-25D3-4DAB-B6D9-82074C07A629}">
  <dimension ref="A1:Z65"/>
  <sheetViews>
    <sheetView tabSelected="1" zoomScale="40" zoomScaleNormal="40" workbookViewId="0">
      <selection activeCell="AB42" sqref="AB42"/>
    </sheetView>
  </sheetViews>
  <sheetFormatPr defaultRowHeight="14.4" x14ac:dyDescent="0.3"/>
  <sheetData>
    <row r="1" spans="1:26" ht="14.4" customHeight="1" x14ac:dyDescent="0.5">
      <c r="A1" s="11" t="s">
        <v>144</v>
      </c>
      <c r="B1" s="9"/>
      <c r="C1" s="9"/>
      <c r="D1" s="9"/>
      <c r="E1" s="9"/>
      <c r="F1" s="9"/>
      <c r="G1" s="9"/>
      <c r="H1" s="9"/>
      <c r="I1" s="9"/>
      <c r="J1" s="9"/>
      <c r="K1" s="9"/>
      <c r="L1" s="9"/>
      <c r="M1" s="9"/>
      <c r="N1" s="9"/>
      <c r="O1" s="9"/>
      <c r="P1" s="9"/>
      <c r="Q1" s="9"/>
      <c r="R1" s="9"/>
      <c r="S1" s="9"/>
      <c r="T1" s="9"/>
      <c r="U1" s="9"/>
      <c r="V1" s="9"/>
      <c r="W1" s="9"/>
      <c r="X1" s="4"/>
      <c r="Y1" s="4"/>
      <c r="Z1" s="4"/>
    </row>
    <row r="2" spans="1:26" ht="25.8" x14ac:dyDescent="0.5">
      <c r="A2" s="9"/>
      <c r="B2" s="9"/>
      <c r="C2" s="9"/>
      <c r="D2" s="9"/>
      <c r="E2" s="9"/>
      <c r="F2" s="9"/>
      <c r="G2" s="9"/>
      <c r="H2" s="9"/>
      <c r="I2" s="9"/>
      <c r="J2" s="9"/>
      <c r="K2" s="9"/>
      <c r="L2" s="9"/>
      <c r="M2" s="9"/>
      <c r="N2" s="9"/>
      <c r="O2" s="9"/>
      <c r="P2" s="9"/>
      <c r="Q2" s="9"/>
      <c r="R2" s="9"/>
      <c r="S2" s="9"/>
      <c r="T2" s="9"/>
      <c r="U2" s="9"/>
      <c r="V2" s="9"/>
      <c r="W2" s="9"/>
      <c r="X2" s="4"/>
      <c r="Y2" s="4"/>
      <c r="Z2" s="4"/>
    </row>
    <row r="3" spans="1:26" x14ac:dyDescent="0.3">
      <c r="A3" s="3"/>
      <c r="B3" s="3"/>
      <c r="C3" s="3"/>
      <c r="D3" s="3"/>
      <c r="E3" s="3"/>
      <c r="F3" s="3"/>
      <c r="G3" s="3"/>
      <c r="H3" s="3"/>
      <c r="I3" s="3"/>
      <c r="J3" s="3"/>
      <c r="K3" s="3"/>
      <c r="L3" s="3"/>
      <c r="M3" s="3"/>
      <c r="N3" s="3"/>
      <c r="O3" s="3"/>
      <c r="P3" s="3"/>
      <c r="Q3" s="3"/>
      <c r="R3" s="3"/>
      <c r="S3" s="3"/>
      <c r="T3" s="3"/>
      <c r="U3" s="3"/>
      <c r="V3" s="3"/>
      <c r="W3" s="3"/>
      <c r="X3" s="3"/>
      <c r="Y3" s="3"/>
      <c r="Z3" s="3"/>
    </row>
    <row r="4" spans="1:26" x14ac:dyDescent="0.3">
      <c r="A4" s="3"/>
      <c r="B4" s="3"/>
      <c r="C4" s="3"/>
      <c r="D4" s="3"/>
      <c r="E4" s="3"/>
      <c r="F4" s="3"/>
      <c r="G4" s="3"/>
      <c r="H4" s="3"/>
      <c r="I4" s="3"/>
      <c r="J4" s="3"/>
      <c r="K4" s="3"/>
      <c r="L4" s="3"/>
      <c r="M4" s="3"/>
      <c r="N4" s="3"/>
      <c r="O4" s="3"/>
      <c r="P4" s="3"/>
      <c r="Q4" s="3"/>
      <c r="R4" s="3"/>
      <c r="S4" s="3"/>
      <c r="T4" s="3"/>
      <c r="U4" s="3"/>
      <c r="V4" s="3"/>
      <c r="W4" s="3"/>
      <c r="X4" s="3"/>
      <c r="Y4" s="3"/>
      <c r="Z4" s="3"/>
    </row>
    <row r="5" spans="1:26" x14ac:dyDescent="0.3">
      <c r="A5" s="3"/>
      <c r="B5" s="3"/>
      <c r="C5" s="3"/>
      <c r="D5" s="3"/>
      <c r="E5" s="3"/>
      <c r="F5" s="3"/>
      <c r="G5" s="3"/>
      <c r="H5" s="3"/>
      <c r="I5" s="3"/>
      <c r="J5" s="3"/>
      <c r="K5" s="3"/>
      <c r="L5" s="3"/>
      <c r="M5" s="3"/>
      <c r="N5" s="3"/>
      <c r="O5" s="3"/>
      <c r="P5" s="3"/>
      <c r="Q5" s="3"/>
      <c r="R5" s="3"/>
      <c r="S5" s="3"/>
      <c r="T5" s="3"/>
      <c r="U5" s="3"/>
      <c r="V5" s="3"/>
      <c r="W5" s="3"/>
      <c r="X5" s="3"/>
      <c r="Y5" s="3"/>
      <c r="Z5" s="3"/>
    </row>
    <row r="6" spans="1:26" x14ac:dyDescent="0.3">
      <c r="A6" s="3"/>
      <c r="B6" s="3"/>
      <c r="C6" s="3"/>
      <c r="D6" s="3"/>
      <c r="E6" s="3"/>
      <c r="F6" s="3"/>
      <c r="G6" s="3"/>
      <c r="H6" s="3"/>
      <c r="I6" s="3"/>
      <c r="J6" s="3"/>
      <c r="K6" s="3"/>
      <c r="L6" s="3"/>
      <c r="M6" s="3"/>
      <c r="N6" s="3"/>
      <c r="O6" s="3"/>
      <c r="P6" s="3"/>
      <c r="Q6" s="3"/>
      <c r="R6" s="3"/>
      <c r="S6" s="3"/>
      <c r="T6" s="3"/>
      <c r="U6" s="3"/>
      <c r="V6" s="3"/>
      <c r="W6" s="3"/>
      <c r="X6" s="3"/>
      <c r="Y6" s="3"/>
      <c r="Z6" s="3"/>
    </row>
    <row r="7" spans="1:26" x14ac:dyDescent="0.3">
      <c r="A7" s="3"/>
      <c r="B7" s="3"/>
      <c r="C7" s="3"/>
      <c r="D7" s="3"/>
      <c r="E7" s="3"/>
      <c r="F7" s="3"/>
      <c r="G7" s="3"/>
      <c r="H7" s="3"/>
      <c r="I7" s="3"/>
      <c r="J7" s="3"/>
      <c r="K7" s="3"/>
      <c r="L7" s="3"/>
      <c r="M7" s="3"/>
      <c r="N7" s="3"/>
      <c r="O7" s="3"/>
      <c r="P7" s="3"/>
      <c r="Q7" s="3"/>
      <c r="R7" s="3"/>
      <c r="S7" s="3"/>
      <c r="T7" s="3"/>
      <c r="U7" s="3"/>
      <c r="V7" s="3"/>
      <c r="W7" s="3"/>
      <c r="X7" s="3"/>
      <c r="Y7" s="3"/>
      <c r="Z7" s="3"/>
    </row>
    <row r="8" spans="1:26" x14ac:dyDescent="0.3">
      <c r="A8" s="3"/>
      <c r="B8" s="3"/>
      <c r="C8" s="3"/>
      <c r="D8" s="3"/>
      <c r="E8" s="3"/>
      <c r="F8" s="3"/>
      <c r="G8" s="3"/>
      <c r="H8" s="3"/>
      <c r="I8" s="3"/>
      <c r="J8" s="3"/>
      <c r="K8" s="3"/>
      <c r="L8" s="3"/>
      <c r="M8" s="3"/>
      <c r="N8" s="3"/>
      <c r="O8" s="3"/>
      <c r="P8" s="3"/>
      <c r="Q8" s="3"/>
      <c r="R8" s="3"/>
      <c r="S8" s="3"/>
      <c r="T8" s="3"/>
      <c r="U8" s="3"/>
      <c r="V8" s="3"/>
      <c r="W8" s="3"/>
      <c r="X8" s="3"/>
      <c r="Y8" s="3"/>
      <c r="Z8" s="3"/>
    </row>
    <row r="9" spans="1:26" x14ac:dyDescent="0.3">
      <c r="A9" s="3"/>
      <c r="B9" s="3"/>
      <c r="C9" s="3"/>
      <c r="D9" s="3"/>
      <c r="E9" s="3"/>
      <c r="F9" s="3"/>
      <c r="G9" s="3"/>
      <c r="H9" s="3"/>
      <c r="I9" s="3"/>
      <c r="J9" s="3"/>
      <c r="K9" s="3"/>
      <c r="L9" s="3"/>
      <c r="M9" s="3"/>
      <c r="N9" s="3"/>
      <c r="O9" s="3"/>
      <c r="P9" s="3"/>
      <c r="Q9" s="3"/>
      <c r="R9" s="3"/>
      <c r="S9" s="3"/>
      <c r="T9" s="3"/>
      <c r="U9" s="3"/>
      <c r="V9" s="3"/>
      <c r="W9" s="3"/>
      <c r="X9" s="3"/>
      <c r="Y9" s="3"/>
      <c r="Z9" s="3"/>
    </row>
    <row r="10" spans="1:26" x14ac:dyDescent="0.3">
      <c r="A10" s="3"/>
      <c r="B10" s="3"/>
      <c r="C10" s="3"/>
      <c r="D10" s="3"/>
      <c r="E10" s="3"/>
      <c r="F10" s="3"/>
      <c r="G10" s="3"/>
      <c r="H10" s="3"/>
      <c r="I10" s="3"/>
      <c r="J10" s="3"/>
      <c r="K10" s="3"/>
      <c r="L10" s="3"/>
      <c r="M10" s="3"/>
      <c r="N10" s="3"/>
      <c r="O10" s="3"/>
      <c r="P10" s="3"/>
      <c r="Q10" s="3"/>
      <c r="R10" s="3"/>
      <c r="S10" s="3"/>
      <c r="T10" s="3"/>
      <c r="U10" s="3"/>
      <c r="V10" s="3"/>
      <c r="W10" s="3"/>
      <c r="X10" s="3"/>
      <c r="Y10" s="3"/>
      <c r="Z10" s="3"/>
    </row>
    <row r="11" spans="1:26" x14ac:dyDescent="0.3">
      <c r="A11" s="3"/>
      <c r="B11" s="3"/>
      <c r="C11" s="3"/>
      <c r="D11" s="3"/>
      <c r="E11" s="3"/>
      <c r="F11" s="3"/>
      <c r="G11" s="3"/>
      <c r="H11" s="3"/>
      <c r="I11" s="3"/>
      <c r="J11" s="3"/>
      <c r="K11" s="3"/>
      <c r="L11" s="3"/>
      <c r="M11" s="3"/>
      <c r="N11" s="3"/>
      <c r="O11" s="3"/>
      <c r="P11" s="3"/>
      <c r="Q11" s="3"/>
      <c r="R11" s="3"/>
      <c r="S11" s="3"/>
      <c r="T11" s="3"/>
      <c r="U11" s="3"/>
      <c r="V11" s="3"/>
      <c r="W11" s="3"/>
      <c r="X11" s="3"/>
      <c r="Y11" s="3"/>
      <c r="Z11" s="3"/>
    </row>
    <row r="12" spans="1:26" x14ac:dyDescent="0.3">
      <c r="A12" s="3"/>
      <c r="B12" s="3"/>
      <c r="C12" s="3"/>
      <c r="D12" s="3"/>
      <c r="E12" s="3"/>
      <c r="F12" s="3"/>
      <c r="G12" s="3"/>
      <c r="H12" s="3"/>
      <c r="I12" s="3"/>
      <c r="J12" s="3"/>
      <c r="K12" s="3"/>
      <c r="L12" s="3"/>
      <c r="M12" s="3"/>
      <c r="N12" s="3"/>
      <c r="O12" s="3"/>
      <c r="P12" s="3"/>
      <c r="Q12" s="3"/>
      <c r="R12" s="3"/>
      <c r="S12" s="3"/>
      <c r="T12" s="3"/>
      <c r="U12" s="3"/>
      <c r="V12" s="3"/>
      <c r="W12" s="3"/>
      <c r="X12" s="3"/>
      <c r="Y12" s="3"/>
      <c r="Z12" s="3"/>
    </row>
    <row r="13" spans="1:26" x14ac:dyDescent="0.3">
      <c r="A13" s="3"/>
      <c r="B13" s="3"/>
      <c r="C13" s="3"/>
      <c r="D13" s="3"/>
      <c r="E13" s="3"/>
      <c r="F13" s="3"/>
      <c r="G13" s="3"/>
      <c r="H13" s="3"/>
      <c r="I13" s="3"/>
      <c r="J13" s="3"/>
      <c r="K13" s="3"/>
      <c r="L13" s="3"/>
      <c r="M13" s="3"/>
      <c r="N13" s="3"/>
      <c r="O13" s="3"/>
      <c r="P13" s="3"/>
      <c r="Q13" s="3"/>
      <c r="R13" s="3"/>
      <c r="S13" s="3"/>
      <c r="T13" s="3"/>
      <c r="U13" s="3"/>
      <c r="V13" s="3"/>
      <c r="W13" s="3"/>
      <c r="X13" s="3"/>
      <c r="Y13" s="3"/>
      <c r="Z13" s="3"/>
    </row>
    <row r="14" spans="1:26" x14ac:dyDescent="0.3">
      <c r="A14" s="3"/>
      <c r="B14" s="3"/>
      <c r="C14" s="3"/>
      <c r="D14" s="3"/>
      <c r="E14" s="3"/>
      <c r="F14" s="3"/>
      <c r="G14" s="3"/>
      <c r="H14" s="3"/>
      <c r="I14" s="3"/>
      <c r="J14" s="3"/>
      <c r="K14" s="3"/>
      <c r="L14" s="3"/>
      <c r="M14" s="3"/>
      <c r="N14" s="3"/>
      <c r="O14" s="3"/>
      <c r="P14" s="3"/>
      <c r="Q14" s="3"/>
      <c r="R14" s="3"/>
      <c r="S14" s="3"/>
      <c r="T14" s="3"/>
      <c r="U14" s="3"/>
      <c r="V14" s="3"/>
      <c r="W14" s="3"/>
      <c r="X14" s="3"/>
      <c r="Y14" s="3"/>
      <c r="Z14" s="3"/>
    </row>
    <row r="15" spans="1:26" x14ac:dyDescent="0.3">
      <c r="A15" s="3"/>
      <c r="B15" s="3"/>
      <c r="C15" s="3"/>
      <c r="D15" s="3"/>
      <c r="E15" s="3"/>
      <c r="F15" s="3"/>
      <c r="G15" s="3"/>
      <c r="H15" s="3"/>
      <c r="I15" s="3"/>
      <c r="J15" s="3"/>
      <c r="K15" s="3"/>
      <c r="L15" s="3"/>
      <c r="M15" s="3"/>
      <c r="N15" s="3"/>
      <c r="O15" s="3"/>
      <c r="P15" s="3"/>
      <c r="Q15" s="3"/>
      <c r="R15" s="3"/>
      <c r="S15" s="3"/>
      <c r="T15" s="3"/>
      <c r="U15" s="3"/>
      <c r="V15" s="3"/>
      <c r="W15" s="3"/>
      <c r="X15" s="3"/>
      <c r="Y15" s="3"/>
      <c r="Z15" s="3"/>
    </row>
    <row r="16" spans="1:26" x14ac:dyDescent="0.3">
      <c r="A16" s="3"/>
      <c r="B16" s="3"/>
      <c r="C16" s="3"/>
      <c r="D16" s="3"/>
      <c r="E16" s="3"/>
      <c r="F16" s="3"/>
      <c r="G16" s="3"/>
      <c r="H16" s="3"/>
      <c r="I16" s="3"/>
      <c r="J16" s="3"/>
      <c r="K16" s="3"/>
      <c r="L16" s="3"/>
      <c r="M16" s="3"/>
      <c r="N16" s="3"/>
      <c r="O16" s="3"/>
      <c r="P16" s="3"/>
      <c r="Q16" s="3"/>
      <c r="R16" s="3"/>
      <c r="S16" s="3"/>
      <c r="T16" s="3"/>
      <c r="U16" s="3"/>
      <c r="V16" s="3"/>
      <c r="W16" s="3"/>
      <c r="X16" s="3"/>
      <c r="Y16" s="3"/>
      <c r="Z16" s="3"/>
    </row>
    <row r="17" spans="1:26" x14ac:dyDescent="0.3">
      <c r="A17" s="3"/>
      <c r="B17" s="3"/>
      <c r="C17" s="3"/>
      <c r="D17" s="3"/>
      <c r="E17" s="3"/>
      <c r="F17" s="3"/>
      <c r="G17" s="3"/>
      <c r="H17" s="3"/>
      <c r="I17" s="3"/>
      <c r="J17" s="3"/>
      <c r="K17" s="3"/>
      <c r="L17" s="3"/>
      <c r="M17" s="3"/>
      <c r="N17" s="3"/>
      <c r="O17" s="3"/>
      <c r="P17" s="3"/>
      <c r="Q17" s="3"/>
      <c r="R17" s="3"/>
      <c r="S17" s="3"/>
      <c r="T17" s="3"/>
      <c r="U17" s="3"/>
      <c r="V17" s="3"/>
      <c r="W17" s="3"/>
      <c r="X17" s="3"/>
      <c r="Y17" s="3"/>
      <c r="Z17" s="3"/>
    </row>
    <row r="18" spans="1:26" x14ac:dyDescent="0.3">
      <c r="A18" s="3"/>
      <c r="B18" s="3"/>
      <c r="C18" s="3"/>
      <c r="D18" s="3"/>
      <c r="E18" s="3"/>
      <c r="F18" s="3"/>
      <c r="G18" s="3"/>
      <c r="H18" s="3"/>
      <c r="I18" s="3"/>
      <c r="J18" s="3"/>
      <c r="K18" s="3"/>
      <c r="L18" s="3"/>
      <c r="M18" s="3"/>
      <c r="N18" s="3"/>
      <c r="O18" s="3"/>
      <c r="P18" s="3"/>
      <c r="Q18" s="3"/>
      <c r="R18" s="3"/>
      <c r="S18" s="3"/>
      <c r="T18" s="3"/>
      <c r="U18" s="3"/>
      <c r="V18" s="3"/>
      <c r="W18" s="3"/>
      <c r="X18" s="3"/>
      <c r="Y18" s="3"/>
      <c r="Z18" s="3"/>
    </row>
    <row r="19" spans="1:26" x14ac:dyDescent="0.3">
      <c r="A19" s="3"/>
      <c r="B19" s="3"/>
      <c r="C19" s="3"/>
      <c r="D19" s="3"/>
      <c r="E19" s="3"/>
      <c r="F19" s="3"/>
      <c r="G19" s="3"/>
      <c r="H19" s="3"/>
      <c r="I19" s="3"/>
      <c r="J19" s="3"/>
      <c r="K19" s="3"/>
      <c r="L19" s="3"/>
      <c r="M19" s="3"/>
      <c r="N19" s="3"/>
      <c r="O19" s="3"/>
      <c r="P19" s="3"/>
      <c r="Q19" s="3"/>
      <c r="R19" s="3"/>
      <c r="S19" s="3"/>
      <c r="T19" s="3"/>
      <c r="U19" s="3"/>
      <c r="V19" s="3"/>
      <c r="W19" s="3"/>
      <c r="X19" s="3"/>
      <c r="Y19" s="3"/>
      <c r="Z19" s="3"/>
    </row>
    <row r="20" spans="1:26" x14ac:dyDescent="0.3">
      <c r="A20" s="3"/>
      <c r="B20" s="3"/>
      <c r="C20" s="3"/>
      <c r="D20" s="3"/>
      <c r="E20" s="3"/>
      <c r="F20" s="3"/>
      <c r="G20" s="3"/>
      <c r="H20" s="3"/>
      <c r="I20" s="3"/>
      <c r="J20" s="3"/>
      <c r="K20" s="3"/>
      <c r="L20" s="3"/>
      <c r="M20" s="3"/>
      <c r="N20" s="3"/>
      <c r="O20" s="3"/>
      <c r="P20" s="3"/>
      <c r="Q20" s="3"/>
      <c r="R20" s="3"/>
      <c r="S20" s="3"/>
      <c r="T20" s="3"/>
      <c r="U20" s="3"/>
      <c r="V20" s="3"/>
      <c r="W20" s="3"/>
      <c r="X20" s="3"/>
      <c r="Y20" s="3"/>
      <c r="Z20" s="3"/>
    </row>
    <row r="21" spans="1:26" x14ac:dyDescent="0.3">
      <c r="A21" s="3"/>
      <c r="B21" s="3"/>
      <c r="C21" s="3"/>
      <c r="D21" s="3"/>
      <c r="E21" s="3"/>
      <c r="F21" s="3"/>
      <c r="G21" s="3"/>
      <c r="H21" s="3"/>
      <c r="I21" s="3"/>
      <c r="J21" s="3"/>
      <c r="K21" s="3"/>
      <c r="L21" s="3"/>
      <c r="M21" s="3"/>
      <c r="N21" s="3"/>
      <c r="O21" s="3"/>
      <c r="P21" s="3"/>
      <c r="Q21" s="3"/>
      <c r="R21" s="3"/>
      <c r="S21" s="3"/>
      <c r="T21" s="3"/>
      <c r="U21" s="3"/>
      <c r="V21" s="3"/>
      <c r="W21" s="3"/>
      <c r="X21" s="3"/>
      <c r="Y21" s="3"/>
      <c r="Z21" s="3"/>
    </row>
    <row r="22" spans="1:26" x14ac:dyDescent="0.3">
      <c r="A22" s="3"/>
      <c r="B22" s="3"/>
      <c r="C22" s="3"/>
      <c r="D22" s="3"/>
      <c r="E22" s="3"/>
      <c r="F22" s="3"/>
      <c r="G22" s="3"/>
      <c r="H22" s="3"/>
      <c r="I22" s="3"/>
      <c r="J22" s="3"/>
      <c r="K22" s="3"/>
      <c r="L22" s="3"/>
      <c r="M22" s="3"/>
      <c r="N22" s="3"/>
      <c r="O22" s="3"/>
      <c r="P22" s="3"/>
      <c r="Q22" s="3"/>
      <c r="R22" s="3"/>
      <c r="S22" s="3"/>
      <c r="T22" s="3"/>
      <c r="U22" s="3"/>
      <c r="V22" s="3"/>
      <c r="W22" s="3"/>
      <c r="X22" s="3"/>
      <c r="Y22" s="3"/>
      <c r="Z22" s="3"/>
    </row>
    <row r="23" spans="1:26" x14ac:dyDescent="0.3">
      <c r="A23" s="3"/>
      <c r="B23" s="3"/>
      <c r="C23" s="3"/>
      <c r="D23" s="3"/>
      <c r="E23" s="3"/>
      <c r="F23" s="3"/>
      <c r="G23" s="3"/>
      <c r="H23" s="3"/>
      <c r="I23" s="3"/>
      <c r="J23" s="3"/>
      <c r="K23" s="3"/>
      <c r="L23" s="3"/>
      <c r="M23" s="3"/>
      <c r="N23" s="3"/>
      <c r="O23" s="3"/>
      <c r="P23" s="3"/>
      <c r="Q23" s="3"/>
      <c r="R23" s="3"/>
      <c r="S23" s="3"/>
      <c r="T23" s="3"/>
      <c r="U23" s="3"/>
      <c r="V23" s="3"/>
      <c r="W23" s="3"/>
      <c r="X23" s="3"/>
      <c r="Y23" s="3"/>
      <c r="Z23" s="3"/>
    </row>
    <row r="24" spans="1:26" x14ac:dyDescent="0.3">
      <c r="A24" s="3"/>
      <c r="B24" s="3"/>
      <c r="C24" s="3"/>
      <c r="D24" s="3"/>
      <c r="E24" s="3"/>
      <c r="F24" s="3"/>
      <c r="G24" s="3"/>
      <c r="H24" s="3"/>
      <c r="I24" s="3"/>
      <c r="J24" s="3"/>
      <c r="K24" s="3"/>
      <c r="L24" s="3"/>
      <c r="M24" s="3"/>
      <c r="N24" s="3"/>
      <c r="O24" s="3"/>
      <c r="P24" s="3"/>
      <c r="Q24" s="3"/>
      <c r="R24" s="3"/>
      <c r="S24" s="3"/>
      <c r="T24" s="3"/>
      <c r="U24" s="3"/>
      <c r="V24" s="3"/>
      <c r="W24" s="3"/>
      <c r="X24" s="3"/>
      <c r="Y24" s="3"/>
      <c r="Z24" s="3"/>
    </row>
    <row r="25" spans="1:26" x14ac:dyDescent="0.3">
      <c r="A25" s="3"/>
      <c r="B25" s="3"/>
      <c r="C25" s="3"/>
      <c r="D25" s="3"/>
      <c r="E25" s="3"/>
      <c r="F25" s="3"/>
      <c r="G25" s="3"/>
      <c r="H25" s="3"/>
      <c r="I25" s="3"/>
      <c r="J25" s="3"/>
      <c r="K25" s="3"/>
      <c r="L25" s="3"/>
      <c r="M25" s="3"/>
      <c r="N25" s="3"/>
      <c r="O25" s="3"/>
      <c r="P25" s="3"/>
      <c r="Q25" s="3"/>
      <c r="R25" s="3"/>
      <c r="S25" s="3"/>
      <c r="T25" s="3"/>
      <c r="U25" s="3"/>
      <c r="V25" s="3"/>
      <c r="W25" s="3"/>
      <c r="X25" s="3"/>
      <c r="Y25" s="3"/>
      <c r="Z25" s="3"/>
    </row>
    <row r="26" spans="1:26" x14ac:dyDescent="0.3">
      <c r="A26" s="3"/>
      <c r="B26" s="3"/>
      <c r="C26" s="3"/>
      <c r="D26" s="3"/>
      <c r="E26" s="3"/>
      <c r="F26" s="3"/>
      <c r="G26" s="3"/>
      <c r="H26" s="3"/>
      <c r="I26" s="3"/>
      <c r="J26" s="3"/>
      <c r="K26" s="3"/>
      <c r="L26" s="3"/>
      <c r="M26" s="3"/>
      <c r="N26" s="3"/>
      <c r="O26" s="3"/>
      <c r="P26" s="3"/>
      <c r="Q26" s="3"/>
      <c r="R26" s="3"/>
      <c r="S26" s="3"/>
      <c r="T26" s="3"/>
      <c r="U26" s="3"/>
      <c r="V26" s="3"/>
      <c r="W26" s="3"/>
      <c r="X26" s="3"/>
      <c r="Y26" s="3"/>
      <c r="Z26" s="3"/>
    </row>
    <row r="27" spans="1:26" x14ac:dyDescent="0.3">
      <c r="A27" s="3"/>
      <c r="B27" s="3"/>
      <c r="C27" s="3"/>
      <c r="D27" s="3"/>
      <c r="E27" s="3"/>
      <c r="F27" s="3"/>
      <c r="G27" s="3"/>
      <c r="H27" s="3"/>
      <c r="I27" s="3"/>
      <c r="J27" s="3"/>
      <c r="K27" s="3"/>
      <c r="L27" s="3"/>
      <c r="M27" s="3"/>
      <c r="N27" s="3"/>
      <c r="O27" s="3"/>
      <c r="P27" s="3"/>
      <c r="Q27" s="3"/>
      <c r="R27" s="3"/>
      <c r="S27" s="3"/>
      <c r="T27" s="3"/>
      <c r="U27" s="3"/>
      <c r="V27" s="3"/>
      <c r="W27" s="3"/>
      <c r="X27" s="3"/>
      <c r="Y27" s="3"/>
      <c r="Z27" s="3"/>
    </row>
    <row r="28" spans="1:26" x14ac:dyDescent="0.3">
      <c r="A28" s="3"/>
      <c r="B28" s="3"/>
      <c r="C28" s="3"/>
      <c r="D28" s="3"/>
      <c r="E28" s="3"/>
      <c r="F28" s="3"/>
      <c r="G28" s="3"/>
      <c r="H28" s="3"/>
      <c r="I28" s="3"/>
      <c r="J28" s="3"/>
      <c r="K28" s="3"/>
      <c r="L28" s="3"/>
      <c r="M28" s="3"/>
      <c r="N28" s="3"/>
      <c r="O28" s="3"/>
      <c r="P28" s="3"/>
      <c r="Q28" s="3"/>
      <c r="R28" s="3"/>
      <c r="S28" s="3"/>
      <c r="T28" s="3"/>
      <c r="U28" s="3"/>
      <c r="V28" s="3"/>
      <c r="W28" s="3"/>
      <c r="X28" s="3"/>
      <c r="Y28" s="3"/>
      <c r="Z28" s="3"/>
    </row>
    <row r="29" spans="1:26" x14ac:dyDescent="0.3">
      <c r="A29" s="3"/>
      <c r="B29" s="3"/>
      <c r="C29" s="3"/>
      <c r="D29" s="3"/>
      <c r="E29" s="3"/>
      <c r="F29" s="3"/>
      <c r="G29" s="3"/>
      <c r="H29" s="3"/>
      <c r="I29" s="3"/>
      <c r="J29" s="3"/>
      <c r="K29" s="3"/>
      <c r="L29" s="3"/>
      <c r="M29" s="3"/>
      <c r="N29" s="3"/>
      <c r="O29" s="3"/>
      <c r="P29" s="3"/>
      <c r="Q29" s="3"/>
      <c r="R29" s="3"/>
      <c r="S29" s="3"/>
      <c r="T29" s="3"/>
      <c r="U29" s="3"/>
      <c r="V29" s="3"/>
      <c r="W29" s="3"/>
      <c r="X29" s="3"/>
      <c r="Y29" s="3"/>
      <c r="Z29" s="3"/>
    </row>
    <row r="30" spans="1:26" x14ac:dyDescent="0.3">
      <c r="A30" s="3"/>
      <c r="B30" s="3"/>
      <c r="C30" s="3"/>
      <c r="D30" s="3"/>
      <c r="E30" s="3"/>
      <c r="F30" s="3"/>
      <c r="G30" s="3"/>
      <c r="H30" s="3"/>
      <c r="I30" s="3"/>
      <c r="J30" s="3"/>
      <c r="K30" s="3"/>
      <c r="L30" s="3"/>
      <c r="M30" s="3"/>
      <c r="N30" s="3"/>
      <c r="O30" s="3"/>
      <c r="P30" s="3"/>
      <c r="Q30" s="3"/>
      <c r="R30" s="3"/>
      <c r="S30" s="3"/>
      <c r="T30" s="3"/>
      <c r="U30" s="3"/>
      <c r="V30" s="3"/>
      <c r="W30" s="3"/>
      <c r="X30" s="3"/>
      <c r="Y30" s="3"/>
      <c r="Z30" s="3"/>
    </row>
    <row r="31" spans="1:26" x14ac:dyDescent="0.3">
      <c r="A31" s="3"/>
      <c r="B31" s="3"/>
      <c r="C31" s="3"/>
      <c r="D31" s="3"/>
      <c r="E31" s="3"/>
      <c r="F31" s="3"/>
      <c r="G31" s="3"/>
      <c r="H31" s="3"/>
      <c r="I31" s="3"/>
      <c r="J31" s="3"/>
      <c r="K31" s="3"/>
      <c r="L31" s="3"/>
      <c r="M31" s="3"/>
      <c r="N31" s="3"/>
      <c r="O31" s="3"/>
      <c r="P31" s="3"/>
      <c r="Q31" s="3"/>
      <c r="R31" s="3"/>
      <c r="S31" s="3"/>
      <c r="T31" s="3"/>
      <c r="U31" s="3"/>
      <c r="V31" s="3"/>
      <c r="W31" s="3"/>
      <c r="X31" s="3"/>
      <c r="Y31" s="3"/>
      <c r="Z31" s="3"/>
    </row>
    <row r="32" spans="1:26" x14ac:dyDescent="0.3">
      <c r="A32" s="3"/>
      <c r="B32" s="3"/>
      <c r="C32" s="3"/>
      <c r="D32" s="3"/>
      <c r="E32" s="3"/>
      <c r="F32" s="3"/>
      <c r="G32" s="3"/>
      <c r="H32" s="3"/>
      <c r="I32" s="3"/>
      <c r="J32" s="3"/>
      <c r="K32" s="3"/>
      <c r="L32" s="3"/>
      <c r="M32" s="3"/>
      <c r="N32" s="3"/>
      <c r="O32" s="3"/>
      <c r="P32" s="3"/>
      <c r="Q32" s="3"/>
      <c r="R32" s="3"/>
      <c r="S32" s="3"/>
      <c r="T32" s="3"/>
      <c r="U32" s="3"/>
      <c r="V32" s="3"/>
      <c r="W32" s="3"/>
      <c r="X32" s="3"/>
      <c r="Y32" s="3"/>
      <c r="Z32" s="3"/>
    </row>
    <row r="33" spans="1:26" x14ac:dyDescent="0.3">
      <c r="A33" s="3"/>
      <c r="B33" s="3"/>
      <c r="C33" s="3"/>
      <c r="D33" s="3"/>
      <c r="E33" s="3"/>
      <c r="F33" s="3"/>
      <c r="G33" s="3"/>
      <c r="H33" s="3"/>
      <c r="I33" s="3"/>
      <c r="J33" s="3"/>
      <c r="K33" s="3"/>
      <c r="L33" s="3"/>
      <c r="M33" s="3"/>
      <c r="N33" s="3"/>
      <c r="O33" s="3"/>
      <c r="P33" s="3"/>
      <c r="Q33" s="3"/>
      <c r="R33" s="3"/>
      <c r="S33" s="3"/>
      <c r="T33" s="3"/>
      <c r="U33" s="3"/>
      <c r="V33" s="3"/>
      <c r="W33" s="3"/>
      <c r="X33" s="3"/>
      <c r="Y33" s="3"/>
      <c r="Z33" s="3"/>
    </row>
    <row r="34" spans="1:26" x14ac:dyDescent="0.3">
      <c r="A34" s="3"/>
      <c r="B34" s="3"/>
      <c r="C34" s="3"/>
      <c r="D34" s="3"/>
      <c r="E34" s="3"/>
      <c r="F34" s="3"/>
      <c r="G34" s="3"/>
      <c r="H34" s="3"/>
      <c r="I34" s="3"/>
      <c r="J34" s="3"/>
      <c r="K34" s="3"/>
      <c r="L34" s="3"/>
      <c r="M34" s="3"/>
      <c r="N34" s="3"/>
      <c r="O34" s="3"/>
      <c r="P34" s="3"/>
      <c r="Q34" s="3"/>
      <c r="R34" s="3"/>
      <c r="S34" s="3"/>
      <c r="T34" s="3"/>
      <c r="U34" s="3"/>
      <c r="V34" s="3"/>
      <c r="W34" s="3"/>
      <c r="X34" s="3"/>
      <c r="Y34" s="3"/>
      <c r="Z34" s="3"/>
    </row>
    <row r="35" spans="1:26" x14ac:dyDescent="0.3">
      <c r="A35" s="3"/>
      <c r="B35" s="3"/>
      <c r="C35" s="3"/>
      <c r="D35" s="3"/>
      <c r="E35" s="3"/>
      <c r="F35" s="3"/>
      <c r="G35" s="3"/>
      <c r="H35" s="3"/>
      <c r="I35" s="3"/>
      <c r="J35" s="3"/>
      <c r="K35" s="3"/>
      <c r="L35" s="3"/>
      <c r="M35" s="3"/>
      <c r="N35" s="3"/>
      <c r="O35" s="3"/>
      <c r="P35" s="3"/>
      <c r="Q35" s="3"/>
      <c r="R35" s="3"/>
      <c r="S35" s="3"/>
      <c r="T35" s="3"/>
      <c r="U35" s="3"/>
      <c r="V35" s="3"/>
      <c r="W35" s="3"/>
      <c r="X35" s="3"/>
      <c r="Y35" s="3"/>
      <c r="Z35" s="3"/>
    </row>
    <row r="36" spans="1:26" x14ac:dyDescent="0.3">
      <c r="A36" s="3"/>
      <c r="B36" s="3"/>
      <c r="C36" s="3"/>
      <c r="D36" s="3"/>
      <c r="E36" s="3"/>
      <c r="F36" s="3"/>
      <c r="G36" s="3"/>
      <c r="H36" s="3"/>
      <c r="I36" s="3"/>
      <c r="J36" s="3"/>
      <c r="K36" s="3"/>
      <c r="L36" s="3"/>
      <c r="M36" s="3"/>
      <c r="N36" s="3"/>
      <c r="O36" s="3"/>
      <c r="P36" s="3"/>
      <c r="Q36" s="3"/>
      <c r="R36" s="3"/>
      <c r="S36" s="3"/>
      <c r="T36" s="3"/>
      <c r="U36" s="3"/>
      <c r="V36" s="3"/>
      <c r="W36" s="3"/>
      <c r="X36" s="3"/>
      <c r="Y36" s="3"/>
      <c r="Z36" s="3"/>
    </row>
    <row r="37" spans="1:26" x14ac:dyDescent="0.3">
      <c r="A37" s="3"/>
      <c r="B37" s="3"/>
      <c r="C37" s="3"/>
      <c r="D37" s="3"/>
      <c r="E37" s="3"/>
      <c r="F37" s="3"/>
      <c r="G37" s="3"/>
      <c r="H37" s="3"/>
      <c r="I37" s="3"/>
      <c r="J37" s="3"/>
      <c r="K37" s="3"/>
      <c r="L37" s="3"/>
      <c r="M37" s="3"/>
      <c r="N37" s="3"/>
      <c r="O37" s="3"/>
      <c r="P37" s="3"/>
      <c r="Q37" s="3"/>
      <c r="R37" s="3"/>
      <c r="S37" s="3"/>
      <c r="T37" s="3"/>
      <c r="U37" s="3"/>
      <c r="V37" s="3"/>
      <c r="W37" s="3"/>
      <c r="X37" s="3"/>
      <c r="Y37" s="3"/>
      <c r="Z37" s="3"/>
    </row>
    <row r="38" spans="1:26" x14ac:dyDescent="0.3">
      <c r="A38" s="3"/>
      <c r="B38" s="3"/>
      <c r="C38" s="3"/>
      <c r="D38" s="3"/>
      <c r="E38" s="3"/>
      <c r="F38" s="3"/>
      <c r="G38" s="3"/>
      <c r="H38" s="3"/>
      <c r="I38" s="3"/>
      <c r="J38" s="3"/>
      <c r="K38" s="3"/>
      <c r="L38" s="3"/>
      <c r="M38" s="3"/>
      <c r="N38" s="3"/>
      <c r="O38" s="3"/>
      <c r="P38" s="3"/>
      <c r="Q38" s="3"/>
      <c r="R38" s="3"/>
      <c r="S38" s="3"/>
      <c r="T38" s="3"/>
      <c r="U38" s="3"/>
      <c r="V38" s="3"/>
      <c r="W38" s="3"/>
      <c r="X38" s="3"/>
      <c r="Y38" s="3"/>
      <c r="Z38" s="3"/>
    </row>
    <row r="39" spans="1:26" x14ac:dyDescent="0.3">
      <c r="A39" s="3"/>
      <c r="B39" s="3"/>
      <c r="C39" s="3"/>
      <c r="D39" s="3"/>
      <c r="E39" s="3"/>
      <c r="F39" s="3"/>
      <c r="G39" s="3"/>
      <c r="H39" s="3"/>
      <c r="I39" s="3"/>
      <c r="J39" s="3"/>
      <c r="K39" s="3"/>
      <c r="L39" s="3"/>
      <c r="M39" s="3"/>
      <c r="N39" s="3"/>
      <c r="O39" s="3"/>
      <c r="P39" s="3"/>
      <c r="Q39" s="3"/>
      <c r="R39" s="3"/>
      <c r="S39" s="3"/>
      <c r="T39" s="3"/>
      <c r="U39" s="3"/>
      <c r="V39" s="3"/>
      <c r="W39" s="3"/>
      <c r="X39" s="3"/>
      <c r="Y39" s="3"/>
      <c r="Z39" s="3"/>
    </row>
    <row r="40" spans="1:26" x14ac:dyDescent="0.3">
      <c r="A40" s="3"/>
      <c r="B40" s="3"/>
      <c r="C40" s="3"/>
      <c r="D40" s="3"/>
      <c r="E40" s="3"/>
      <c r="F40" s="3"/>
      <c r="G40" s="3"/>
      <c r="H40" s="3"/>
      <c r="I40" s="3"/>
      <c r="J40" s="3"/>
      <c r="K40" s="3"/>
      <c r="L40" s="3"/>
      <c r="M40" s="3"/>
      <c r="N40" s="3"/>
      <c r="O40" s="3"/>
      <c r="P40" s="3"/>
      <c r="Q40" s="3"/>
      <c r="R40" s="3"/>
      <c r="S40" s="3"/>
      <c r="T40" s="3"/>
      <c r="U40" s="3"/>
      <c r="V40" s="3"/>
      <c r="W40" s="3"/>
      <c r="X40" s="3"/>
      <c r="Y40" s="3"/>
      <c r="Z40" s="3"/>
    </row>
    <row r="41" spans="1:26" x14ac:dyDescent="0.3">
      <c r="A41" s="3"/>
      <c r="B41" s="3"/>
      <c r="C41" s="3"/>
      <c r="D41" s="3"/>
      <c r="E41" s="3"/>
      <c r="F41" s="3"/>
      <c r="G41" s="3"/>
      <c r="H41" s="3"/>
      <c r="I41" s="3"/>
      <c r="J41" s="3"/>
      <c r="K41" s="3"/>
      <c r="L41" s="3"/>
      <c r="M41" s="3"/>
      <c r="N41" s="3"/>
      <c r="O41" s="3"/>
      <c r="P41" s="3"/>
      <c r="Q41" s="3"/>
      <c r="R41" s="3"/>
      <c r="S41" s="3"/>
      <c r="T41" s="3"/>
      <c r="U41" s="3"/>
      <c r="V41" s="3"/>
      <c r="W41" s="3"/>
      <c r="X41" s="3"/>
      <c r="Y41" s="3"/>
      <c r="Z41" s="3"/>
    </row>
    <row r="42" spans="1:26" x14ac:dyDescent="0.3">
      <c r="A42" s="3"/>
      <c r="B42" s="3"/>
      <c r="C42" s="3"/>
      <c r="D42" s="3"/>
      <c r="E42" s="3"/>
      <c r="F42" s="3"/>
      <c r="G42" s="3"/>
      <c r="H42" s="3"/>
      <c r="I42" s="3"/>
      <c r="J42" s="3"/>
      <c r="K42" s="3"/>
      <c r="L42" s="3"/>
      <c r="M42" s="3"/>
      <c r="N42" s="3"/>
      <c r="O42" s="3"/>
      <c r="P42" s="3"/>
      <c r="Q42" s="3"/>
      <c r="R42" s="3"/>
      <c r="S42" s="3"/>
      <c r="T42" s="3"/>
      <c r="U42" s="3"/>
      <c r="V42" s="3"/>
      <c r="W42" s="3"/>
      <c r="X42" s="3"/>
      <c r="Y42" s="3"/>
      <c r="Z42" s="3"/>
    </row>
    <row r="43" spans="1:26" x14ac:dyDescent="0.3">
      <c r="A43" s="3"/>
      <c r="B43" s="3"/>
      <c r="C43" s="3"/>
      <c r="D43" s="3"/>
      <c r="E43" s="3"/>
      <c r="F43" s="3"/>
      <c r="G43" s="3"/>
      <c r="H43" s="3"/>
      <c r="I43" s="3"/>
      <c r="J43" s="3"/>
      <c r="K43" s="3"/>
      <c r="L43" s="3"/>
      <c r="M43" s="3"/>
      <c r="N43" s="3"/>
      <c r="O43" s="3"/>
      <c r="P43" s="3"/>
      <c r="Q43" s="3"/>
      <c r="R43" s="3"/>
      <c r="S43" s="3"/>
      <c r="T43" s="3"/>
      <c r="U43" s="3"/>
      <c r="V43" s="3"/>
      <c r="W43" s="3"/>
      <c r="X43" s="3"/>
      <c r="Y43" s="3"/>
      <c r="Z43" s="3"/>
    </row>
    <row r="44" spans="1:26" x14ac:dyDescent="0.3">
      <c r="A44" s="3"/>
      <c r="B44" s="3"/>
      <c r="C44" s="3"/>
      <c r="D44" s="3"/>
      <c r="E44" s="3"/>
      <c r="F44" s="3"/>
      <c r="G44" s="3"/>
      <c r="H44" s="3"/>
      <c r="I44" s="3"/>
      <c r="J44" s="3"/>
      <c r="K44" s="3"/>
      <c r="L44" s="3"/>
      <c r="M44" s="3"/>
      <c r="N44" s="3"/>
      <c r="O44" s="3"/>
      <c r="P44" s="3"/>
      <c r="Q44" s="3"/>
      <c r="R44" s="3"/>
      <c r="S44" s="3"/>
      <c r="T44" s="3"/>
      <c r="U44" s="3"/>
      <c r="V44" s="3"/>
      <c r="W44" s="3"/>
      <c r="X44" s="3"/>
      <c r="Y44" s="3"/>
      <c r="Z44" s="3"/>
    </row>
    <row r="45" spans="1:26" x14ac:dyDescent="0.3">
      <c r="A45" s="3"/>
      <c r="B45" s="3"/>
      <c r="C45" s="3"/>
      <c r="D45" s="3"/>
      <c r="E45" s="3"/>
      <c r="F45" s="3"/>
      <c r="G45" s="3"/>
      <c r="H45" s="3"/>
      <c r="I45" s="3"/>
      <c r="J45" s="3"/>
      <c r="K45" s="3"/>
      <c r="L45" s="3"/>
      <c r="M45" s="3"/>
      <c r="N45" s="3"/>
      <c r="O45" s="3"/>
      <c r="P45" s="3"/>
      <c r="Q45" s="3"/>
      <c r="R45" s="3"/>
      <c r="S45" s="3"/>
      <c r="T45" s="3"/>
      <c r="U45" s="3"/>
      <c r="V45" s="3"/>
      <c r="W45" s="3"/>
      <c r="X45" s="3"/>
      <c r="Y45" s="3"/>
      <c r="Z45" s="3"/>
    </row>
    <row r="46" spans="1:26" x14ac:dyDescent="0.3">
      <c r="A46" s="3"/>
      <c r="B46" s="3"/>
      <c r="C46" s="3"/>
      <c r="D46" s="3"/>
      <c r="E46" s="3"/>
      <c r="F46" s="3"/>
      <c r="G46" s="3"/>
      <c r="H46" s="3"/>
      <c r="I46" s="3"/>
      <c r="J46" s="3"/>
      <c r="K46" s="3"/>
      <c r="L46" s="3"/>
      <c r="M46" s="3"/>
      <c r="N46" s="3"/>
      <c r="O46" s="3"/>
      <c r="P46" s="3"/>
      <c r="Q46" s="3"/>
      <c r="R46" s="3"/>
      <c r="S46" s="3"/>
      <c r="T46" s="3"/>
      <c r="U46" s="3"/>
      <c r="V46" s="3"/>
      <c r="W46" s="3"/>
      <c r="X46" s="3"/>
      <c r="Y46" s="3"/>
      <c r="Z46" s="3"/>
    </row>
    <row r="47" spans="1:26" x14ac:dyDescent="0.3">
      <c r="A47" s="3"/>
      <c r="B47" s="3"/>
      <c r="C47" s="3"/>
      <c r="D47" s="3"/>
      <c r="E47" s="3"/>
      <c r="F47" s="3"/>
      <c r="G47" s="3"/>
      <c r="H47" s="3"/>
      <c r="I47" s="3"/>
      <c r="J47" s="3"/>
      <c r="K47" s="3"/>
      <c r="L47" s="3"/>
      <c r="M47" s="3"/>
      <c r="N47" s="3"/>
      <c r="O47" s="3"/>
      <c r="P47" s="3"/>
      <c r="Q47" s="3"/>
      <c r="R47" s="3"/>
      <c r="S47" s="3"/>
      <c r="T47" s="3"/>
      <c r="U47" s="3"/>
      <c r="V47" s="3"/>
      <c r="W47" s="3"/>
      <c r="X47" s="3"/>
      <c r="Y47" s="3"/>
      <c r="Z47" s="3"/>
    </row>
    <row r="48" spans="1:26" x14ac:dyDescent="0.3">
      <c r="A48" s="3"/>
      <c r="B48" s="3"/>
      <c r="C48" s="3"/>
      <c r="D48" s="3"/>
      <c r="E48" s="3"/>
      <c r="F48" s="3"/>
      <c r="G48" s="3"/>
      <c r="H48" s="3"/>
      <c r="I48" s="3"/>
      <c r="J48" s="3"/>
      <c r="K48" s="3"/>
      <c r="L48" s="3"/>
      <c r="M48" s="3"/>
      <c r="N48" s="3"/>
      <c r="O48" s="3"/>
      <c r="P48" s="3"/>
      <c r="Q48" s="3"/>
      <c r="R48" s="3"/>
      <c r="S48" s="3"/>
      <c r="T48" s="3"/>
      <c r="U48" s="3"/>
      <c r="V48" s="3"/>
      <c r="W48" s="3"/>
      <c r="X48" s="3"/>
      <c r="Y48" s="3"/>
      <c r="Z48" s="3"/>
    </row>
    <row r="49" spans="1:26" x14ac:dyDescent="0.3">
      <c r="A49" s="3"/>
      <c r="B49" s="3"/>
      <c r="C49" s="3"/>
      <c r="D49" s="3"/>
      <c r="E49" s="3"/>
      <c r="F49" s="3"/>
      <c r="G49" s="3"/>
      <c r="H49" s="3"/>
      <c r="I49" s="3"/>
      <c r="J49" s="3"/>
      <c r="K49" s="3"/>
      <c r="L49" s="3"/>
      <c r="M49" s="3"/>
      <c r="N49" s="3"/>
      <c r="O49" s="3"/>
      <c r="P49" s="3"/>
      <c r="Q49" s="3"/>
      <c r="R49" s="3"/>
      <c r="S49" s="3"/>
      <c r="T49" s="3"/>
      <c r="U49" s="3"/>
      <c r="V49" s="3"/>
      <c r="W49" s="3"/>
      <c r="X49" s="3"/>
      <c r="Y49" s="3"/>
      <c r="Z49" s="3"/>
    </row>
    <row r="50" spans="1:26" x14ac:dyDescent="0.3">
      <c r="A50" s="3"/>
      <c r="B50" s="3"/>
      <c r="C50" s="3"/>
      <c r="D50" s="3"/>
      <c r="E50" s="3"/>
      <c r="F50" s="3"/>
      <c r="G50" s="3"/>
      <c r="H50" s="3"/>
      <c r="I50" s="3"/>
      <c r="J50" s="3"/>
      <c r="K50" s="3"/>
      <c r="L50" s="3"/>
      <c r="M50" s="3"/>
      <c r="N50" s="3"/>
      <c r="O50" s="3"/>
      <c r="P50" s="3"/>
      <c r="Q50" s="3"/>
      <c r="R50" s="3"/>
      <c r="S50" s="3"/>
      <c r="T50" s="3"/>
      <c r="U50" s="3"/>
      <c r="V50" s="3"/>
      <c r="W50" s="3"/>
      <c r="X50" s="3"/>
      <c r="Y50" s="3"/>
      <c r="Z50" s="3"/>
    </row>
    <row r="51" spans="1:26" x14ac:dyDescent="0.3">
      <c r="A51" s="3"/>
      <c r="B51" s="3"/>
      <c r="C51" s="3"/>
      <c r="D51" s="3"/>
      <c r="E51" s="3"/>
      <c r="F51" s="3"/>
      <c r="G51" s="3"/>
      <c r="H51" s="3"/>
      <c r="I51" s="3"/>
      <c r="J51" s="3"/>
      <c r="K51" s="3"/>
      <c r="L51" s="3"/>
      <c r="M51" s="3"/>
      <c r="N51" s="3"/>
      <c r="O51" s="3"/>
      <c r="P51" s="3"/>
      <c r="Q51" s="3"/>
      <c r="R51" s="3"/>
      <c r="S51" s="3"/>
      <c r="T51" s="3"/>
      <c r="U51" s="3"/>
      <c r="V51" s="3"/>
      <c r="W51" s="3"/>
      <c r="X51" s="3"/>
      <c r="Y51" s="3"/>
      <c r="Z51" s="3"/>
    </row>
    <row r="52" spans="1:26" x14ac:dyDescent="0.3">
      <c r="A52" s="3"/>
      <c r="B52" s="3"/>
      <c r="C52" s="3"/>
      <c r="D52" s="3"/>
      <c r="E52" s="3"/>
      <c r="F52" s="3"/>
      <c r="G52" s="3"/>
      <c r="H52" s="3"/>
      <c r="I52" s="3"/>
      <c r="J52" s="3"/>
      <c r="K52" s="3"/>
      <c r="L52" s="3"/>
      <c r="M52" s="3"/>
      <c r="N52" s="3"/>
      <c r="O52" s="3"/>
      <c r="P52" s="3"/>
      <c r="Q52" s="3"/>
      <c r="R52" s="3"/>
      <c r="S52" s="3"/>
      <c r="T52" s="3"/>
      <c r="U52" s="3"/>
      <c r="V52" s="3"/>
      <c r="W52" s="3"/>
      <c r="X52" s="3"/>
      <c r="Y52" s="3"/>
      <c r="Z52" s="3"/>
    </row>
    <row r="53" spans="1:26" x14ac:dyDescent="0.3">
      <c r="A53" s="3"/>
      <c r="B53" s="3"/>
      <c r="C53" s="3"/>
      <c r="D53" s="3"/>
      <c r="E53" s="3"/>
      <c r="F53" s="3"/>
      <c r="G53" s="3"/>
      <c r="H53" s="3"/>
      <c r="I53" s="3"/>
      <c r="J53" s="3"/>
      <c r="K53" s="3"/>
      <c r="L53" s="3"/>
      <c r="M53" s="3"/>
      <c r="N53" s="3"/>
      <c r="O53" s="3"/>
      <c r="P53" s="3"/>
      <c r="Q53" s="3"/>
      <c r="R53" s="3"/>
      <c r="S53" s="3"/>
      <c r="T53" s="3"/>
      <c r="U53" s="3"/>
      <c r="V53" s="3"/>
      <c r="W53" s="3"/>
      <c r="X53" s="3"/>
      <c r="Y53" s="3"/>
      <c r="Z53" s="3"/>
    </row>
    <row r="54" spans="1:26" x14ac:dyDescent="0.3">
      <c r="A54" s="3"/>
      <c r="B54" s="3"/>
      <c r="C54" s="3"/>
      <c r="D54" s="3"/>
      <c r="E54" s="3"/>
      <c r="F54" s="3"/>
      <c r="G54" s="3"/>
      <c r="H54" s="3"/>
      <c r="I54" s="3"/>
      <c r="J54" s="3"/>
      <c r="K54" s="3"/>
      <c r="L54" s="3"/>
      <c r="M54" s="3"/>
      <c r="N54" s="3"/>
      <c r="O54" s="3"/>
      <c r="P54" s="3"/>
      <c r="Q54" s="3"/>
      <c r="R54" s="3"/>
      <c r="S54" s="3"/>
      <c r="T54" s="3"/>
      <c r="U54" s="3"/>
      <c r="V54" s="3"/>
      <c r="W54" s="3"/>
      <c r="X54" s="3"/>
      <c r="Y54" s="3"/>
      <c r="Z54" s="3"/>
    </row>
    <row r="55" spans="1:26" x14ac:dyDescent="0.3">
      <c r="A55" s="3"/>
      <c r="B55" s="3"/>
      <c r="C55" s="3"/>
      <c r="D55" s="3"/>
      <c r="E55" s="3"/>
      <c r="F55" s="3"/>
      <c r="G55" s="3"/>
      <c r="H55" s="3"/>
      <c r="I55" s="3"/>
      <c r="J55" s="3"/>
      <c r="K55" s="3"/>
      <c r="L55" s="3"/>
      <c r="M55" s="3"/>
      <c r="N55" s="3"/>
      <c r="O55" s="3"/>
      <c r="P55" s="3"/>
      <c r="Q55" s="3"/>
      <c r="R55" s="3"/>
      <c r="S55" s="3"/>
      <c r="T55" s="3"/>
      <c r="U55" s="3"/>
      <c r="V55" s="3"/>
      <c r="W55" s="3"/>
      <c r="X55" s="3"/>
      <c r="Y55" s="3"/>
      <c r="Z55" s="3"/>
    </row>
    <row r="56" spans="1:26" x14ac:dyDescent="0.3">
      <c r="A56" s="3"/>
      <c r="B56" s="3"/>
      <c r="C56" s="3"/>
      <c r="D56" s="3"/>
      <c r="E56" s="3"/>
      <c r="F56" s="3"/>
      <c r="G56" s="3"/>
      <c r="H56" s="3"/>
      <c r="I56" s="3"/>
      <c r="J56" s="3"/>
      <c r="K56" s="3"/>
      <c r="L56" s="3"/>
      <c r="M56" s="3"/>
      <c r="N56" s="3"/>
      <c r="O56" s="3"/>
      <c r="P56" s="3"/>
      <c r="Q56" s="3"/>
      <c r="R56" s="3"/>
      <c r="S56" s="3"/>
      <c r="T56" s="3"/>
      <c r="U56" s="3"/>
      <c r="V56" s="3"/>
      <c r="W56" s="3"/>
      <c r="X56" s="3"/>
      <c r="Y56" s="3"/>
      <c r="Z56" s="3"/>
    </row>
    <row r="57" spans="1:26" x14ac:dyDescent="0.3">
      <c r="A57" s="3"/>
      <c r="B57" s="3"/>
      <c r="C57" s="3"/>
      <c r="D57" s="3"/>
      <c r="E57" s="3"/>
      <c r="F57" s="3"/>
      <c r="G57" s="3"/>
      <c r="H57" s="3"/>
      <c r="I57" s="3"/>
      <c r="J57" s="3"/>
      <c r="K57" s="3"/>
      <c r="L57" s="3"/>
      <c r="M57" s="3"/>
      <c r="N57" s="3"/>
      <c r="O57" s="3"/>
      <c r="P57" s="3"/>
      <c r="Q57" s="3"/>
      <c r="R57" s="3"/>
      <c r="S57" s="3"/>
      <c r="T57" s="3"/>
      <c r="U57" s="3"/>
      <c r="V57" s="3"/>
      <c r="W57" s="3"/>
      <c r="X57" s="3"/>
      <c r="Y57" s="3"/>
      <c r="Z57" s="3"/>
    </row>
    <row r="58" spans="1:26" x14ac:dyDescent="0.3">
      <c r="A58" s="3"/>
      <c r="B58" s="3"/>
      <c r="C58" s="3"/>
      <c r="D58" s="3"/>
      <c r="E58" s="3"/>
      <c r="F58" s="3"/>
      <c r="G58" s="3"/>
      <c r="H58" s="3"/>
      <c r="I58" s="3"/>
      <c r="J58" s="3"/>
      <c r="K58" s="3"/>
      <c r="L58" s="3"/>
      <c r="M58" s="3"/>
      <c r="N58" s="3"/>
      <c r="O58" s="3"/>
      <c r="P58" s="3"/>
      <c r="Q58" s="3"/>
      <c r="R58" s="3"/>
      <c r="S58" s="3"/>
      <c r="T58" s="3"/>
      <c r="U58" s="3"/>
      <c r="V58" s="3"/>
      <c r="W58" s="3"/>
      <c r="X58" s="3"/>
      <c r="Y58" s="3"/>
      <c r="Z58" s="3"/>
    </row>
    <row r="59" spans="1:26" x14ac:dyDescent="0.3">
      <c r="A59" s="3"/>
      <c r="B59" s="3"/>
      <c r="C59" s="3"/>
      <c r="D59" s="3"/>
      <c r="E59" s="3"/>
      <c r="F59" s="3"/>
      <c r="G59" s="3"/>
      <c r="H59" s="3"/>
      <c r="I59" s="3"/>
      <c r="J59" s="3"/>
      <c r="K59" s="3"/>
      <c r="L59" s="3"/>
      <c r="M59" s="3"/>
      <c r="N59" s="3"/>
      <c r="O59" s="3"/>
      <c r="P59" s="3"/>
      <c r="Q59" s="3"/>
      <c r="R59" s="3"/>
      <c r="S59" s="3"/>
      <c r="T59" s="3"/>
      <c r="U59" s="3"/>
      <c r="V59" s="3"/>
      <c r="W59" s="3"/>
      <c r="X59" s="3"/>
      <c r="Y59" s="3"/>
      <c r="Z59" s="3"/>
    </row>
    <row r="60" spans="1:26" x14ac:dyDescent="0.3">
      <c r="A60" s="3"/>
      <c r="B60" s="3"/>
      <c r="C60" s="3"/>
      <c r="D60" s="3"/>
      <c r="E60" s="3"/>
      <c r="F60" s="3"/>
      <c r="G60" s="3"/>
      <c r="H60" s="3"/>
      <c r="I60" s="3"/>
      <c r="J60" s="3"/>
      <c r="K60" s="3"/>
      <c r="L60" s="3"/>
      <c r="M60" s="3"/>
      <c r="N60" s="3"/>
      <c r="O60" s="3"/>
      <c r="P60" s="3"/>
      <c r="Q60" s="3"/>
      <c r="R60" s="3"/>
      <c r="S60" s="3"/>
      <c r="T60" s="3"/>
      <c r="U60" s="3"/>
      <c r="V60" s="3"/>
      <c r="W60" s="3"/>
      <c r="X60" s="3"/>
      <c r="Y60" s="3"/>
      <c r="Z60" s="3"/>
    </row>
    <row r="61" spans="1:26" x14ac:dyDescent="0.3">
      <c r="A61" s="3"/>
      <c r="B61" s="3"/>
      <c r="C61" s="3"/>
      <c r="D61" s="3"/>
      <c r="E61" s="3"/>
      <c r="F61" s="3"/>
      <c r="G61" s="3"/>
      <c r="H61" s="3"/>
      <c r="I61" s="3"/>
      <c r="J61" s="3"/>
      <c r="K61" s="3"/>
      <c r="L61" s="3"/>
      <c r="M61" s="3"/>
      <c r="N61" s="3"/>
      <c r="O61" s="3"/>
      <c r="P61" s="3"/>
      <c r="Q61" s="3"/>
      <c r="R61" s="3"/>
      <c r="S61" s="3"/>
      <c r="T61" s="3"/>
      <c r="U61" s="3"/>
      <c r="V61" s="3"/>
      <c r="W61" s="3"/>
      <c r="X61" s="3"/>
      <c r="Y61" s="3"/>
      <c r="Z61" s="3"/>
    </row>
    <row r="62" spans="1:26" x14ac:dyDescent="0.3">
      <c r="A62" s="3"/>
      <c r="B62" s="3"/>
      <c r="C62" s="3"/>
      <c r="D62" s="3"/>
      <c r="E62" s="3"/>
      <c r="F62" s="3"/>
      <c r="G62" s="3"/>
      <c r="H62" s="3"/>
      <c r="I62" s="3"/>
      <c r="J62" s="3"/>
      <c r="K62" s="3"/>
      <c r="L62" s="3"/>
      <c r="M62" s="3"/>
      <c r="N62" s="3"/>
      <c r="O62" s="3"/>
      <c r="P62" s="3"/>
      <c r="Q62" s="3"/>
      <c r="R62" s="3"/>
      <c r="S62" s="3"/>
      <c r="T62" s="3"/>
      <c r="U62" s="3"/>
      <c r="V62" s="3"/>
      <c r="W62" s="3"/>
      <c r="X62" s="3"/>
      <c r="Y62" s="3"/>
      <c r="Z62" s="3"/>
    </row>
    <row r="63" spans="1:26" x14ac:dyDescent="0.3">
      <c r="A63" s="3"/>
      <c r="B63" s="3"/>
      <c r="C63" s="3"/>
      <c r="D63" s="3"/>
      <c r="E63" s="3"/>
      <c r="F63" s="3"/>
      <c r="G63" s="3"/>
      <c r="H63" s="3"/>
      <c r="I63" s="3"/>
      <c r="J63" s="3"/>
      <c r="K63" s="3"/>
      <c r="L63" s="3"/>
      <c r="M63" s="3"/>
      <c r="N63" s="3"/>
      <c r="O63" s="3"/>
      <c r="P63" s="3"/>
      <c r="Q63" s="3"/>
      <c r="R63" s="3"/>
      <c r="S63" s="3"/>
      <c r="T63" s="3"/>
      <c r="U63" s="3"/>
      <c r="V63" s="3"/>
      <c r="W63" s="3"/>
      <c r="X63" s="3"/>
      <c r="Y63" s="3"/>
      <c r="Z63" s="3"/>
    </row>
    <row r="64" spans="1:26" x14ac:dyDescent="0.3">
      <c r="A64" s="3"/>
      <c r="B64" s="3"/>
      <c r="C64" s="3"/>
      <c r="D64" s="3"/>
      <c r="E64" s="3"/>
      <c r="F64" s="3"/>
      <c r="G64" s="3"/>
      <c r="H64" s="3"/>
      <c r="I64" s="3"/>
      <c r="J64" s="3"/>
      <c r="K64" s="3"/>
      <c r="L64" s="3"/>
      <c r="M64" s="3"/>
      <c r="N64" s="3"/>
      <c r="O64" s="3"/>
      <c r="P64" s="3"/>
      <c r="Q64" s="3"/>
      <c r="R64" s="3"/>
      <c r="S64" s="3"/>
      <c r="T64" s="3"/>
      <c r="U64" s="3"/>
      <c r="V64" s="3"/>
      <c r="W64" s="3"/>
      <c r="X64" s="3"/>
      <c r="Y64" s="3"/>
      <c r="Z64" s="3"/>
    </row>
    <row r="65" spans="1:26" x14ac:dyDescent="0.3">
      <c r="A65" s="3"/>
      <c r="B65" s="3"/>
      <c r="C65" s="3"/>
      <c r="D65" s="3"/>
      <c r="E65" s="3"/>
      <c r="F65" s="3"/>
      <c r="G65" s="3"/>
      <c r="H65" s="3"/>
      <c r="I65" s="3"/>
      <c r="J65" s="3"/>
      <c r="K65" s="3"/>
      <c r="L65" s="3"/>
      <c r="M65" s="3"/>
      <c r="N65" s="3"/>
      <c r="O65" s="3"/>
      <c r="P65" s="3"/>
      <c r="Q65" s="3"/>
      <c r="R65" s="3"/>
      <c r="S65" s="3"/>
      <c r="T65" s="3"/>
      <c r="U65" s="3"/>
      <c r="V65" s="3"/>
      <c r="W65" s="3"/>
      <c r="X65" s="3"/>
      <c r="Y65" s="3"/>
      <c r="Z65" s="3"/>
    </row>
  </sheetData>
  <mergeCells count="1">
    <mergeCell ref="A1:W2"/>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Samay Gupta</dc:creator>
  <cp:lastModifiedBy>Samay Gupta</cp:lastModifiedBy>
  <dcterms:created xsi:type="dcterms:W3CDTF">2025-07-03T16:07:50Z</dcterms:created>
  <dcterms:modified xsi:type="dcterms:W3CDTF">2025-07-04T03:51:52Z</dcterms:modified>
</cp:coreProperties>
</file>